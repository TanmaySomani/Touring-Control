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346315d6b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d8b8345b3a46da"/>
    <x:sheet xmlns:r="http://schemas.openxmlformats.org/officeDocument/2006/relationships" name="Inventory" sheetId="2" r:id="R9bde2a4d075943d0"/>
    <x:sheet xmlns:r="http://schemas.openxmlformats.org/officeDocument/2006/relationships" name="Market data" sheetId="3" r:id="R61c527f2333e4ea8"/>
    <x:sheet xmlns:r="http://schemas.openxmlformats.org/officeDocument/2006/relationships" name="Forecast review" sheetId="4" r:id="R56368605f9e74434"/>
    <x:sheet xmlns:r="http://schemas.openxmlformats.org/officeDocument/2006/relationships" name="Bookings" sheetId="5" r:id="Rab0eaea42c62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-mmm-yyyy"/>
    <x:numFmt numFmtId="201" formatCode="0.0%"/>
    <x:numFmt numFmtId="202" formatCode="d-mmm-yy"/>
    <x:numFmt numFmtId="203" formatCode="mmm-yy"/>
    <x:numFmt numFmtId="204" formatCode="&quot;$&quot;#,##0;(&quot;$&quot;#,##0);&quot;-&quot;"/>
    <x:numFmt numFmtId="205" formatCode="#,##0"/>
  </x:numFmts>
  <x:fonts count="6">
    <x:font>
      <x:sz val="11"/>
      <x:name val="Carlito"/>
    </x:font>
    <x:font>
      <x:sz val="10"/>
      <x:color rgb="FF233E53"/>
      <x:name val="Arial"/>
    </x:font>
    <x:font>
      <x:b/>
      <x:sz val="16"/>
      <x:color rgb="FF233E53"/>
      <x:name val="Arial"/>
    </x:font>
    <x:font>
      <x:sz val="10"/>
      <x:color rgb="FF2463EB"/>
      <x:name val="Arial"/>
    </x:font>
    <x:font>
      <x:sz val="10"/>
      <x:color rgb="FF34826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C"/>
      </x:patternFill>
    </x:fill>
    <x:fill>
      <x:patternFill patternType="solid">
        <x:fgColor rgb="FF193F5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BDA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ont>
        <x:b/>
        <x:color rgb="FFB65449"/>
      </x:font>
      <x:fill>
        <x:patternFill patternType="solid">
          <x:bgColor rgb="FFFFEBE8"/>
        </x:patternFill>
      </x:fill>
    </x:dxf>
    <x:dxf>
      <x:font>
        <x:color rgb="FFB65449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aa04595da4ea2" /><Relationship Type="http://schemas.openxmlformats.org/officeDocument/2006/relationships/theme" Target="/xl/theme/theme1.xml" Id="R0cee319e8c634691" /><Relationship Type="http://schemas.openxmlformats.org/officeDocument/2006/relationships/sharedStrings" Target="/xl/sharedStrings.xml" Id="Rd66547b6a31a4a67" /><Relationship Type="http://schemas.openxmlformats.org/officeDocument/2006/relationships/worksheet" Target="/xl/worksheets/sheet1.xml" Id="R74d8b8345b3a46da" /><Relationship Type="http://schemas.openxmlformats.org/officeDocument/2006/relationships/worksheet" Target="/xl/worksheets/sheet2.xml" Id="R9bde2a4d075943d0" /><Relationship Type="http://schemas.openxmlformats.org/officeDocument/2006/relationships/worksheet" Target="/xl/worksheets/sheet3.xml" Id="R61c527f2333e4ea8" /><Relationship Type="http://schemas.openxmlformats.org/officeDocument/2006/relationships/worksheet" Target="/xl/worksheets/sheet4.xml" Id="R56368605f9e74434" /><Relationship Type="http://schemas.openxmlformats.org/officeDocument/2006/relationships/worksheet" Target="/xl/worksheets/sheet5.xml" Id="Rab0eaea42c624f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575aa86bf9d46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Seat commitment and bookings by route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Seat commitment</c:v>
          </c:tx>
          <c:spPr>
            <a:solidFill xmlns:a="http://schemas.openxmlformats.org/drawingml/2006/main">
              <a:srgbClr val="B6CCEC"/>
            </a:solidFill>
          </c:spPr>
          <c:cat>
            <c:strRef>
              <c:f>'Summary'!$A$19:$A$24</c:f>
              <c:strCache>
                <c:ptCount val="0"/>
              </c:strCache>
            </c:strRef>
          </c:cat>
          <c:val>
            <c:numRef>
              <c:f>'Summary'!$B$19:$B$24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Booked pax</c:v>
          </c:tx>
          <c:spPr>
            <a:solidFill xmlns:a="http://schemas.openxmlformats.org/drawingml/2006/main">
              <a:srgbClr val="2463EB"/>
            </a:solidFill>
          </c:spPr>
          <c:cat>
            <c:strRef>
              <c:f>'Summary'!$A$19:$A$24</c:f>
              <c:strCache>
                <c:ptCount val="0"/>
              </c:strCache>
            </c:strRef>
          </c:cat>
          <c:val>
            <c:numRef>
              <c:f>'Summary'!$C$19:$C$24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9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75aa86bf9d46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Model" displayName="InventoryModel" ref="A8:AA56" headerRowCount="1" totalsRowCount="0" totalsRowShown="0">
  <x:tableColumns count="27">
    <x:tableColumn id="1" name="Contract ID"/>
    <x:tableColumn id="2" name="Route"/>
    <x:tableColumn id="3" name="Departure"/>
    <x:tableColumn id="4" name="Release date"/>
    <x:tableColumn id="5" name="Seats"/>
    <x:tableColumn id="6" name="Booked pax"/>
    <x:tableColumn id="7" name="Base forecast"/>
    <x:tableColumn id="8" name="Budget pax"/>
    <x:tableColumn id="9" name="Air cost AUD"/>
    <x:tableColumn id="10" name="Air price AUD"/>
    <x:tableColumn id="11" name="Release fee AUD"/>
    <x:tableColumn id="12" name="Release cap"/>
    <x:tableColumn id="13" name="Min group"/>
    <x:tableColumn id="14" name="Scenario demand"/>
    <x:tableColumn id="15" name="Days to release"/>
    <x:tableColumn id="16" name="Booked load"/>
    <x:tableColumn id="17" name="Unbooked AUD"/>
    <x:tableColumn id="18" name="Release seats"/>
    <x:tableColumn id="19" name="Retain seats"/>
    <x:tableColumn id="20" name="Served pax"/>
    <x:tableColumn id="21" name="Contribution AUD"/>
    <x:tableColumn id="22" name="Benefit AUD"/>
    <x:tableColumn id="23" name="Budget revenue AUD"/>
    <x:tableColumn id="24" name="Forecast revenue AUD"/>
    <x:tableColumn id="25" name="Variance AUD"/>
    <x:tableColumn id="26" name="Prior-year pax"/>
    <x:tableColumn id="27" name="Departure 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MarketActuals" displayName="MarketActuals" ref="A5:F257" headerRowCount="1" totalsRowCount="0" totalsRowShown="0">
  <x:tableColumns count="6">
    <x:tableColumn id="1" name="Route"/>
    <x:tableColumn id="2" name="Month"/>
    <x:tableColumn id="3" name="Inbound pax"/>
    <x:tableColumn id="4" name="Outbound pax"/>
    <x:tableColumn id="5" name="Total pax"/>
    <x:tableColumn id="6" name="Proven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ForecastBacktest" displayName="ForecastBacktest" ref="A5:I113" headerRowCount="1" totalsRowCount="0" totalsRowShown="0">
  <x:tableColumns count="9">
    <x:tableColumn id="1" name="Route"/>
    <x:tableColumn id="2" name="Month"/>
    <x:tableColumn id="3" name="Actual pax"/>
    <x:tableColumn id="4" name="Selected forecast"/>
    <x:tableColumn id="5" name="Trend forecast"/>
    <x:tableColumn id="6" name="Seasonal baseline"/>
    <x:tableColumn id="7" name="Absolute error"/>
    <x:tableColumn id="8" name="Split"/>
    <x:tableColumn id="9" name="Selected mod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AcceptedBookings" displayName="AcceptedBookings" ref="A5:G753" headerRowCount="1" totalsRowCount="0" totalsRowShown="0">
  <x:tableColumns count="7">
    <x:tableColumn id="1" name="Booking ID"/>
    <x:tableColumn id="2" name="Contract ID"/>
    <x:tableColumn id="3" name="Booking date"/>
    <x:tableColumn id="4" name="Passengers"/>
    <x:tableColumn id="5" name="Channel"/>
    <x:tableColumn id="6" name="Air revenue AUD"/>
    <x:tableColumn id="7" name="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fa936058c144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170e9f408545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29a1284f8548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6e6ee3a23c43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8dd743c9bb4b8c" /></Relationships>
</file>

<file path=xl/worksheets/sheet1.xml><?xml version="1.0" encoding="utf-8"?>
<x:worksheet xmlns:x="http://schemas.openxmlformats.org/spreadsheetml/2006/main">
  <x:sheetPr>
    <x:tabColor rgb="FF193F58"/>
  </x:sheetPr>
  <x:sheetViews>
    <x:sheetView showGridLines="0" workbookViewId="0"/>
  </x:sheetViews>
  <x:sheetFormatPr defaultRowHeight="15"/>
  <x:cols>
    <x:col min="1" max="1" width="31" hidden="0" customWidth="1"/>
    <x:col min="2" max="2" width="21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2" customHeight="1">
      <x:c r="A2" s="4" t="str">
        <x:v>Touring Control commercial report</x:v>
      </x:c>
      <x:c r="B2" s="4"/>
      <x:c r="C2" s="4"/>
      <x:c r="D2" s="4"/>
      <x:c r="E2" s="4"/>
      <x:c r="F2" s="4"/>
      <x:c r="G2" s="4"/>
      <x:c r="H2" s="4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v>Snapshot</x:v>
      </x:c>
      <x:c r="B3" s="5" t="n">
        <x:f>'Inventory'!B3</x:f>
        <x:v>46304</x:v>
      </x:c>
      <x:c r="C3" s="2"/>
      <x:c r="D3" s="2" t="str">
        <x:v>All commercial records are simulated. Air component only. AUD.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21" t="str">
        <x:v>Metric</x:v>
      </x:c>
      <x:c r="B5" s="21" t="str">
        <x:v>Portfolio value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2" customHeight="1">
      <x:c r="A6" s="2" t="str">
        <x:v>Contracted seats</x:v>
      </x:c>
      <x:c r="B6" s="2" t="n">
        <x:f>SUM('Inventory'!E9:E56)</x:f>
        <x:v>1632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2" customHeight="1">
      <x:c r="A7" s="2" t="str">
        <x:v>Confirmed passengers</x:v>
      </x:c>
      <x:c r="B7" s="2" t="n">
        <x:f>SUM('Inventory'!F9:F56)</x:f>
        <x:v>748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2" customHeight="1">
      <x:c r="A8" s="2" t="str">
        <x:v>Booked utilisation</x:v>
      </x:c>
      <x:c r="B8" s="6" t="n">
        <x:f>B7/B6</x:f>
        <x:v>0.4583333333333333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2" customHeight="1">
      <x:c r="A9" s="2" t="str">
        <x:v>Forecast air revenue</x:v>
      </x:c>
      <x:c r="B9" s="14" t="n">
        <x:f>SUM('Inventory'!X9:X56)</x:f>
        <x:v>2065440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2" customHeight="1">
      <x:c r="A10" s="2" t="str">
        <x:v>Budget air revenue</x:v>
      </x:c>
      <x:c r="B10" s="14" t="n">
        <x:f>SUM('Inventory'!W9:W56)</x:f>
        <x:v>2146000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2" customHeight="1">
      <x:c r="A11" s="2" t="str">
        <x:v>Revenue variance</x:v>
      </x:c>
      <x:c r="B11" s="14" t="n">
        <x:f>B9-B10</x:f>
        <x:v>-80560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2" customHeight="1">
      <x:c r="A12" s="2" t="str">
        <x:v>Unbooked commitment</x:v>
      </x:c>
      <x:c r="B12" s="14" t="n">
        <x:f>SUM('Inventory'!Q9:Q56)</x:f>
        <x:v>1014960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2" customHeight="1">
      <x:c r="A13" s="2" t="str">
        <x:v>Release seats</x:v>
      </x:c>
      <x:c r="B13" s="2" t="n">
        <x:f>SUM('Inventory'!R9:R56)</x:f>
        <x:v>206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2" customHeight="1">
      <x:c r="A14" s="2" t="str">
        <x:v>Contribution improvement</x:v>
      </x:c>
      <x:c r="B14" s="14" t="n">
        <x:f>SUM('Inventory'!V9:V56)</x:f>
        <x:v>218402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2" customHeight="1">
      <x:c r="A16" s="2" t="str">
        <x:v>Route summary uses SUMIFS. Inventory and source sheets are filterable and ready for PivotTables.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30" customHeight="1">
      <x:c r="A18" s="21" t="str">
        <x:v>Route</x:v>
      </x:c>
      <x:c r="B18" s="21" t="str">
        <x:v>Seat commitment</x:v>
      </x:c>
      <x:c r="C18" s="21" t="str">
        <x:v>Booked pax</x:v>
      </x:c>
      <x:c r="D18" s="21" t="str">
        <x:v>Booked load</x:v>
      </x:c>
      <x:c r="E18" s="21" t="str">
        <x:v>Forecast pax</x:v>
      </x:c>
      <x:c r="F18" s="21" t="str">
        <x:v>Forecast revenue</x:v>
      </x:c>
      <x:c r="G18" s="21" t="str">
        <x:v>Budget revenue</x:v>
      </x:c>
      <x:c r="H18" s="21" t="str">
        <x:v>Release benefit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2" customHeight="1">
      <x:c r="A19" s="2" t="str">
        <x:v>BNE-AKL</x:v>
      </x:c>
      <x:c r="B19" s="2" t="n">
        <x:f>SUMIFS('Inventory'!$E$9:$E$56,'Inventory'!$B$9:$B$56,$A19)</x:f>
        <x:v>272</x:v>
      </x:c>
      <x:c r="C19" s="2" t="n">
        <x:f>SUMIFS('Inventory'!$F$9:$F$56,'Inventory'!$B$9:$B$56,$A19)</x:f>
        <x:v>145</x:v>
      </x:c>
      <x:c r="D19" s="6" t="n">
        <x:f>C19/B19</x:f>
        <x:v>0.5330882352941176</x:v>
      </x:c>
      <x:c r="E19" s="2" t="n">
        <x:f>SUMIFS('Inventory'!$N$9:$N$56,'Inventory'!$B$9:$B$56,$A19)</x:f>
        <x:v>252</x:v>
      </x:c>
      <x:c r="F19" s="14" t="n">
        <x:f>SUMIFS('Inventory'!$X$9:$X$56,'Inventory'!$B$9:$B$56,$A19)</x:f>
        <x:v>249480</x:v>
      </x:c>
      <x:c r="G19" s="14" t="n">
        <x:f>SUMIFS('Inventory'!$W$9:$W$56,'Inventory'!$B$9:$B$56,$A19)</x:f>
        <x:v>229680</x:v>
      </x:c>
      <x:c r="H19" s="14" t="n">
        <x:f>SUMIFS('Inventory'!$V$9:$V$56,'Inventory'!$B$9:$B$56,$A19)</x:f>
        <x:v>4249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2" customHeight="1">
      <x:c r="A20" s="2" t="str">
        <x:v>SYD-TYO</x:v>
      </x:c>
      <x:c r="B20" s="2" t="n">
        <x:f>SUMIFS('Inventory'!$E$9:$E$56,'Inventory'!$B$9:$B$56,$A20)</x:f>
        <x:v>272</x:v>
      </x:c>
      <x:c r="C20" s="2" t="n">
        <x:f>SUMIFS('Inventory'!$F$9:$F$56,'Inventory'!$B$9:$B$56,$A20)</x:f>
        <x:v>157</x:v>
      </x:c>
      <x:c r="D20" s="6" t="n">
        <x:f>C20/B20</x:f>
        <x:v>0.5772058823529411</x:v>
      </x:c>
      <x:c r="E20" s="2" t="n">
        <x:f>SUMIFS('Inventory'!$N$9:$N$56,'Inventory'!$B$9:$B$56,$A20)</x:f>
        <x:v>268</x:v>
      </x:c>
      <x:c r="F20" s="14" t="n">
        <x:f>SUMIFS('Inventory'!$X$9:$X$56,'Inventory'!$B$9:$B$56,$A20)</x:f>
        <x:v>501160</x:v>
      </x:c>
      <x:c r="G20" s="14" t="n">
        <x:f>SUMIFS('Inventory'!$W$9:$W$56,'Inventory'!$B$9:$B$56,$A20)</x:f>
        <x:v>433840</x:v>
      </x:c>
      <x:c r="H20" s="14" t="n">
        <x:f>SUMIFS('Inventory'!$V$9:$V$56,'Inventory'!$B$9:$B$56,$A20)</x:f>
        <x:v>0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2" customHeight="1">
      <x:c r="A21" s="2" t="str">
        <x:v>BNE-TYO</x:v>
      </x:c>
      <x:c r="B21" s="2" t="n">
        <x:f>SUMIFS('Inventory'!$E$9:$E$56,'Inventory'!$B$9:$B$56,$A21)</x:f>
        <x:v>272</x:v>
      </x:c>
      <x:c r="C21" s="2" t="n">
        <x:f>SUMIFS('Inventory'!$F$9:$F$56,'Inventory'!$B$9:$B$56,$A21)</x:f>
        <x:v>91</x:v>
      </x:c>
      <x:c r="D21" s="6" t="n">
        <x:f>C21/B21</x:f>
        <x:v>0.33455882352941174</x:v>
      </x:c>
      <x:c r="E21" s="2" t="n">
        <x:f>SUMIFS('Inventory'!$N$9:$N$56,'Inventory'!$B$9:$B$56,$A21)</x:f>
        <x:v>161</x:v>
      </x:c>
      <x:c r="F21" s="14" t="n">
        <x:f>SUMIFS('Inventory'!$X$9:$X$56,'Inventory'!$B$9:$B$56,$A21)</x:f>
        <x:v>320390</x:v>
      </x:c>
      <x:c r="G21" s="14" t="n">
        <x:f>SUMIFS('Inventory'!$W$9:$W$56,'Inventory'!$B$9:$B$56,$A21)</x:f>
        <x:v>461680</x:v>
      </x:c>
      <x:c r="H21" s="14" t="n">
        <x:f>SUMIFS('Inventory'!$V$9:$V$56,'Inventory'!$B$9:$B$56,$A21)</x:f>
        <x:v>124545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2" customHeight="1">
      <x:c r="A22" s="2" t="str">
        <x:v>MEL-SGN</x:v>
      </x:c>
      <x:c r="B22" s="2" t="n">
        <x:f>SUMIFS('Inventory'!$E$9:$E$56,'Inventory'!$B$9:$B$56,$A22)</x:f>
        <x:v>272</x:v>
      </x:c>
      <x:c r="C22" s="2" t="n">
        <x:f>SUMIFS('Inventory'!$F$9:$F$56,'Inventory'!$B$9:$B$56,$A22)</x:f>
        <x:v>107</x:v>
      </x:c>
      <x:c r="D22" s="6" t="n">
        <x:f>C22/B22</x:f>
        <x:v>0.39338235294117646</x:v>
      </x:c>
      <x:c r="E22" s="2" t="n">
        <x:f>SUMIFS('Inventory'!$N$9:$N$56,'Inventory'!$B$9:$B$56,$A22)</x:f>
        <x:v>192</x:v>
      </x:c>
      <x:c r="F22" s="14" t="n">
        <x:f>SUMIFS('Inventory'!$X$9:$X$56,'Inventory'!$B$9:$B$56,$A22)</x:f>
        <x:v>247680</x:v>
      </x:c>
      <x:c r="G22" s="14" t="n">
        <x:f>SUMIFS('Inventory'!$W$9:$W$56,'Inventory'!$B$9:$B$56,$A22)</x:f>
        <x:v>299280</x:v>
      </x:c>
      <x:c r="H22" s="14" t="n">
        <x:f>SUMIFS('Inventory'!$V$9:$V$56,'Inventory'!$B$9:$B$56,$A22)</x:f>
        <x:v>51840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2" customHeight="1">
      <x:c r="A23" s="2" t="str">
        <x:v>SYD-SEL</x:v>
      </x:c>
      <x:c r="B23" s="2" t="n">
        <x:f>SUMIFS('Inventory'!$E$9:$E$56,'Inventory'!$B$9:$B$56,$A23)</x:f>
        <x:v>272</x:v>
      </x:c>
      <x:c r="C23" s="2" t="n">
        <x:f>SUMIFS('Inventory'!$F$9:$F$56,'Inventory'!$B$9:$B$56,$A23)</x:f>
        <x:v>134</x:v>
      </x:c>
      <x:c r="D23" s="6" t="n">
        <x:f>C23/B23</x:f>
        <x:v>0.49264705882352944</x:v>
      </x:c>
      <x:c r="E23" s="2" t="n">
        <x:f>SUMIFS('Inventory'!$N$9:$N$56,'Inventory'!$B$9:$B$56,$A23)</x:f>
        <x:v>257</x:v>
      </x:c>
      <x:c r="F23" s="14" t="n">
        <x:f>SUMIFS('Inventory'!$X$9:$X$56,'Inventory'!$B$9:$B$56,$A23)</x:f>
        <x:v>434330</x:v>
      </x:c>
      <x:c r="G23" s="14" t="n">
        <x:f>SUMIFS('Inventory'!$W$9:$W$56,'Inventory'!$B$9:$B$56,$A23)</x:f>
        <x:v>392080</x:v>
      </x:c>
      <x:c r="H23" s="14" t="n">
        <x:f>SUMIFS('Inventory'!$V$9:$V$56,'Inventory'!$B$9:$B$56,$A23)</x:f>
        <x:v>4504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2" customHeight="1">
      <x:c r="A24" s="2" t="str">
        <x:v>MEL-SIN</x:v>
      </x:c>
      <x:c r="B24" s="2" t="n">
        <x:f>SUMIFS('Inventory'!$E$9:$E$56,'Inventory'!$B$9:$B$56,$A24)</x:f>
        <x:v>272</x:v>
      </x:c>
      <x:c r="C24" s="2" t="n">
        <x:f>SUMIFS('Inventory'!$F$9:$F$56,'Inventory'!$B$9:$B$56,$A24)</x:f>
        <x:v>114</x:v>
      </x:c>
      <x:c r="D24" s="6" t="n">
        <x:f>C24/B24</x:f>
        <x:v>0.41911764705882354</x:v>
      </x:c>
      <x:c r="E24" s="2" t="n">
        <x:f>SUMIFS('Inventory'!$N$9:$N$56,'Inventory'!$B$9:$B$56,$A24)</x:f>
        <x:v>220</x:v>
      </x:c>
      <x:c r="F24" s="14" t="n">
        <x:f>SUMIFS('Inventory'!$X$9:$X$56,'Inventory'!$B$9:$B$56,$A24)</x:f>
        <x:v>312400</x:v>
      </x:c>
      <x:c r="G24" s="14" t="n">
        <x:f>SUMIFS('Inventory'!$W$9:$W$56,'Inventory'!$B$9:$B$56,$A24)</x:f>
        <x:v>329440</x:v>
      </x:c>
      <x:c r="H24" s="14" t="n">
        <x:f>SUMIFS('Inventory'!$V$9:$V$56,'Inventory'!$B$9:$B$56,$A24)</x:f>
        <x:v>33264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30" customHeight="1">
      <x:c r="A28" s="21" t="str">
        <x:v>Departure month</x:v>
      </x:c>
      <x:c r="B28" s="21" t="str">
        <x:v>Seat commitment</x:v>
      </x:c>
      <x:c r="C28" s="21" t="str">
        <x:v>Booked pax</x:v>
      </x:c>
      <x:c r="D28" s="21" t="str">
        <x:v>Scenario demand</x:v>
      </x:c>
      <x:c r="E28" s="21" t="str">
        <x:v>Forecast revenue</x:v>
      </x:c>
      <x:c r="F28" s="21" t="str">
        <x:v>Budget revenue</x:v>
      </x:c>
      <x:c r="G28" s="21" t="str">
        <x:v>Revenue variance</x:v>
      </x:c>
      <x:c r="H28" s="21" t="str">
        <x:v>Release benefit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2" customHeight="1">
      <x:c r="A29" s="13" t="n">
        <x:v>46327</x:v>
      </x:c>
      <x:c r="B29" s="2" t="n">
        <x:f>SUMIFS('Inventory'!$E$9:$E$56,'Inventory'!$AA$9:$AA$56,$A29)</x:f>
        <x:v>164</x:v>
      </x:c>
      <x:c r="C29" s="2" t="n">
        <x:f>SUMIFS('Inventory'!$F$9:$F$56,'Inventory'!$AA$9:$AA$56,$A29)</x:f>
        <x:v>114</x:v>
      </x:c>
      <x:c r="D29" s="2" t="n">
        <x:f>SUMIFS('Inventory'!$N$9:$N$56,'Inventory'!$AA$9:$AA$56,$A29)</x:f>
        <x:v>132</x:v>
      </x:c>
      <x:c r="E29" s="14" t="n">
        <x:f>SUMIFS('Inventory'!$X$9:$X$56,'Inventory'!$AA$9:$AA$56,$A29)</x:f>
        <x:v>203860</x:v>
      </x:c>
      <x:c r="F29" s="14" t="n">
        <x:f>SUMIFS('Inventory'!$W$9:$W$56,'Inventory'!$AA$9:$AA$56,$A29)</x:f>
        <x:v>220360</x:v>
      </x:c>
      <x:c r="G29" s="14" t="n">
        <x:f>SUMIFS('Inventory'!$Y$9:$Y$56,'Inventory'!$AA$9:$AA$56,$A29)</x:f>
        <x:v>-16500</x:v>
      </x:c>
      <x:c r="H29" s="14" t="n">
        <x:f>SUMIFS('Inventory'!$V$9:$V$56,'Inventory'!$AA$9:$AA$56,$A29)</x:f>
        <x:v>27580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2" customHeight="1">
      <x:c r="A30" s="13" t="n">
        <x:v>46357</x:v>
      </x:c>
      <x:c r="B30" s="2" t="n">
        <x:f>SUMIFS('Inventory'!$E$9:$E$56,'Inventory'!$AA$9:$AA$56,$A30)</x:f>
        <x:v>340</x:v>
      </x:c>
      <x:c r="C30" s="2" t="n">
        <x:f>SUMIFS('Inventory'!$F$9:$F$56,'Inventory'!$AA$9:$AA$56,$A30)</x:f>
        <x:v>217</x:v>
      </x:c>
      <x:c r="D30" s="2" t="n">
        <x:f>SUMIFS('Inventory'!$N$9:$N$56,'Inventory'!$AA$9:$AA$56,$A30)</x:f>
        <x:v>287</x:v>
      </x:c>
      <x:c r="E30" s="14" t="n">
        <x:f>SUMIFS('Inventory'!$X$9:$X$56,'Inventory'!$AA$9:$AA$56,$A30)</x:f>
        <x:v>444050</x:v>
      </x:c>
      <x:c r="F30" s="14" t="n">
        <x:f>SUMIFS('Inventory'!$W$9:$W$56,'Inventory'!$AA$9:$AA$56,$A30)</x:f>
        <x:v>453340</x:v>
      </x:c>
      <x:c r="G30" s="14" t="n">
        <x:f>SUMIFS('Inventory'!$Y$9:$Y$56,'Inventory'!$AA$9:$AA$56,$A30)</x:f>
        <x:v>-9290</x:v>
      </x:c>
      <x:c r="H30" s="14" t="n">
        <x:f>SUMIFS('Inventory'!$V$9:$V$56,'Inventory'!$AA$9:$AA$56,$A30)</x:f>
        <x:v>42739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2" customHeight="1">
      <x:c r="A31" s="13" t="n">
        <x:v>46388</x:v>
      </x:c>
      <x:c r="B31" s="2" t="n">
        <x:f>SUMIFS('Inventory'!$E$9:$E$56,'Inventory'!$AA$9:$AA$56,$A31)</x:f>
        <x:v>340</x:v>
      </x:c>
      <x:c r="C31" s="2" t="n">
        <x:f>SUMIFS('Inventory'!$F$9:$F$56,'Inventory'!$AA$9:$AA$56,$A31)</x:f>
        <x:v>172</x:v>
      </x:c>
      <x:c r="D31" s="2" t="n">
        <x:f>SUMIFS('Inventory'!$N$9:$N$56,'Inventory'!$AA$9:$AA$56,$A31)</x:f>
        <x:v>287</x:v>
      </x:c>
      <x:c r="E31" s="14" t="n">
        <x:f>SUMIFS('Inventory'!$X$9:$X$56,'Inventory'!$AA$9:$AA$56,$A31)</x:f>
        <x:v>416830</x:v>
      </x:c>
      <x:c r="F31" s="14" t="n">
        <x:f>SUMIFS('Inventory'!$W$9:$W$56,'Inventory'!$AA$9:$AA$56,$A31)</x:f>
        <x:v>423060</x:v>
      </x:c>
      <x:c r="G31" s="14" t="n">
        <x:f>SUMIFS('Inventory'!$Y$9:$Y$56,'Inventory'!$AA$9:$AA$56,$A31)</x:f>
        <x:v>-6230</x:v>
      </x:c>
      <x:c r="H31" s="14" t="n">
        <x:f>SUMIFS('Inventory'!$V$9:$V$56,'Inventory'!$AA$9:$AA$56,$A31)</x:f>
        <x:v>36443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2" customHeight="1">
      <x:c r="A32" s="13" t="n">
        <x:v>46419</x:v>
      </x:c>
      <x:c r="B32" s="2" t="n">
        <x:f>SUMIFS('Inventory'!$E$9:$E$56,'Inventory'!$AA$9:$AA$56,$A32)</x:f>
        <x:v>336</x:v>
      </x:c>
      <x:c r="C32" s="2" t="n">
        <x:f>SUMIFS('Inventory'!$F$9:$F$56,'Inventory'!$AA$9:$AA$56,$A32)</x:f>
        <x:v>122</x:v>
      </x:c>
      <x:c r="D32" s="2" t="n">
        <x:f>SUMIFS('Inventory'!$N$9:$N$56,'Inventory'!$AA$9:$AA$56,$A32)</x:f>
        <x:v>269</x:v>
      </x:c>
      <x:c r="E32" s="14" t="n">
        <x:f>SUMIFS('Inventory'!$X$9:$X$56,'Inventory'!$AA$9:$AA$56,$A32)</x:f>
        <x:v>434930</x:v>
      </x:c>
      <x:c r="F32" s="14" t="n">
        <x:f>SUMIFS('Inventory'!$W$9:$W$56,'Inventory'!$AA$9:$AA$56,$A32)</x:f>
        <x:v>463890</x:v>
      </x:c>
      <x:c r="G32" s="14" t="n">
        <x:f>SUMIFS('Inventory'!$Y$9:$Y$56,'Inventory'!$AA$9:$AA$56,$A32)</x:f>
        <x:v>-28960</x:v>
      </x:c>
      <x:c r="H32" s="14" t="n">
        <x:f>SUMIFS('Inventory'!$V$9:$V$56,'Inventory'!$AA$9:$AA$56,$A32)</x:f>
        <x:v>55221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2" customHeight="1">
      <x:c r="A33" s="13" t="n">
        <x:v>46447</x:v>
      </x:c>
      <x:c r="B33" s="2" t="n">
        <x:f>SUMIFS('Inventory'!$E$9:$E$56,'Inventory'!$AA$9:$AA$56,$A33)</x:f>
        <x:v>348</x:v>
      </x:c>
      <x:c r="C33" s="2" t="n">
        <x:f>SUMIFS('Inventory'!$F$9:$F$56,'Inventory'!$AA$9:$AA$56,$A33)</x:f>
        <x:v>100</x:v>
      </x:c>
      <x:c r="D33" s="2" t="n">
        <x:f>SUMIFS('Inventory'!$N$9:$N$56,'Inventory'!$AA$9:$AA$56,$A33)</x:f>
        <x:v>290</x:v>
      </x:c>
      <x:c r="E33" s="14" t="n">
        <x:f>SUMIFS('Inventory'!$X$9:$X$56,'Inventory'!$AA$9:$AA$56,$A33)</x:f>
        <x:v>438330</x:v>
      </x:c>
      <x:c r="F33" s="14" t="n">
        <x:f>SUMIFS('Inventory'!$W$9:$W$56,'Inventory'!$AA$9:$AA$56,$A33)</x:f>
        <x:v>453820</x:v>
      </x:c>
      <x:c r="G33" s="14" t="n">
        <x:f>SUMIFS('Inventory'!$Y$9:$Y$56,'Inventory'!$AA$9:$AA$56,$A33)</x:f>
        <x:v>-15490</x:v>
      </x:c>
      <x:c r="H33" s="14" t="n">
        <x:f>SUMIFS('Inventory'!$V$9:$V$56,'Inventory'!$AA$9:$AA$56,$A33)</x:f>
        <x:v>45231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2" customHeight="1">
      <x:c r="A34" s="13" t="n">
        <x:v>46478</x:v>
      </x:c>
      <x:c r="B34" s="2" t="n">
        <x:f>SUMIFS('Inventory'!$E$9:$E$56,'Inventory'!$AA$9:$AA$56,$A34)</x:f>
        <x:v>104</x:v>
      </x:c>
      <x:c r="C34" s="2" t="n">
        <x:f>SUMIFS('Inventory'!$F$9:$F$56,'Inventory'!$AA$9:$AA$56,$A34)</x:f>
        <x:v>23</x:v>
      </x:c>
      <x:c r="D34" s="2" t="n">
        <x:f>SUMIFS('Inventory'!$N$9:$N$56,'Inventory'!$AA$9:$AA$56,$A34)</x:f>
        <x:v>85</x:v>
      </x:c>
      <x:c r="E34" s="14" t="n">
        <x:f>SUMIFS('Inventory'!$X$9:$X$56,'Inventory'!$AA$9:$AA$56,$A34)</x:f>
        <x:v>127440</x:v>
      </x:c>
      <x:c r="F34" s="14" t="n">
        <x:f>SUMIFS('Inventory'!$W$9:$W$56,'Inventory'!$AA$9:$AA$56,$A34)</x:f>
        <x:v>131530</x:v>
      </x:c>
      <x:c r="G34" s="14" t="n">
        <x:f>SUMIFS('Inventory'!$Y$9:$Y$56,'Inventory'!$AA$9:$AA$56,$A34)</x:f>
        <x:v>-4090</x:v>
      </x:c>
      <x:c r="H34" s="14" t="n">
        <x:f>SUMIFS('Inventory'!$V$9:$V$56,'Inventory'!$AA$9:$AA$56,$A34)</x:f>
        <x:v>11188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2" customHeight="1">
      <x:c r="A36" s="2" t="str">
        <x:v>Unbooked commitment is gross seat cost, not a realised loss. Scenario benefit requires verified contract terms.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</x:sheetData>
  <x:pageMargins left="0.7" right="0.7" top="0.75" bottom="0.75" header="0.3" footer="0.3"/>
  <x:drawing xmlns:r="http://schemas.openxmlformats.org/officeDocument/2006/relationships" r:id="R60fa936058c144d5"/>
</x:worksheet>
</file>

<file path=xl/worksheets/sheet2.xml><?xml version="1.0" encoding="utf-8"?>
<x:worksheet xmlns:x="http://schemas.openxmlformats.org/spreadsheetml/2006/main">
  <x:sheetPr>
    <x:tabColor rgb="FF5C88B0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14" hidden="0" customWidth="1"/>
    <x:col min="27" max="27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32" customHeight="1">
      <x:c r="A2" s="4" t="str">
        <x:v>Flight inventory and release model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</x:row>
    <x:row r="3" ht="22" customHeight="1">
      <x:c r="A3" s="2" t="str">
        <x:v>Reporting date</x:v>
      </x:c>
      <x:c r="B3" s="9" t="n">
        <x:v>46304</x:v>
      </x:c>
      <x:c r="C3" s="2"/>
      <x:c r="D3" s="2" t="str">
        <x:v>Commercial facts are simulated. All amounts are AUD.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22" customHeight="1">
      <x:c r="A4" s="2" t="str">
        <x:v>Safety seats</x:v>
      </x:c>
      <x:c r="B4" s="10" t="n">
        <x:v>2</x:v>
      </x:c>
      <x:c r="C4" s="2"/>
      <x:c r="D4" s="2" t="str">
        <x:v>Yellow cells are editable. Recalculate after changes.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2" customHeight="1">
      <x:c r="A5" s="2" t="str">
        <x:v>Demand change</x:v>
      </x:c>
      <x:c r="B5" s="11" t="n">
        <x:v>0</x:v>
      </x:c>
      <x:c r="C5" s="2"/>
      <x:c r="D5" s="2" t="str">
        <x:v>Base forecast comes from an illustrative booking curve; it is not market traffic.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30" customHeight="1">
      <x:c r="A8" s="21" t="str">
        <x:v>Contract ID</x:v>
      </x:c>
      <x:c r="B8" s="21" t="str">
        <x:v>Route</x:v>
      </x:c>
      <x:c r="C8" s="21" t="str">
        <x:v>Departure</x:v>
      </x:c>
      <x:c r="D8" s="21" t="str">
        <x:v>Release date</x:v>
      </x:c>
      <x:c r="E8" s="21" t="str">
        <x:v>Seats</x:v>
      </x:c>
      <x:c r="F8" s="21" t="str">
        <x:v>Booked pax</x:v>
      </x:c>
      <x:c r="G8" s="21" t="str">
        <x:v>Base forecast</x:v>
      </x:c>
      <x:c r="H8" s="21" t="str">
        <x:v>Budget pax</x:v>
      </x:c>
      <x:c r="I8" s="21" t="str">
        <x:v>Air cost AUD</x:v>
      </x:c>
      <x:c r="J8" s="21" t="str">
        <x:v>Air price AUD</x:v>
      </x:c>
      <x:c r="K8" s="21" t="str">
        <x:v>Release fee AUD</x:v>
      </x:c>
      <x:c r="L8" s="21" t="str">
        <x:v>Release cap</x:v>
      </x:c>
      <x:c r="M8" s="21" t="str">
        <x:v>Min group</x:v>
      </x:c>
      <x:c r="N8" s="21" t="str">
        <x:v>Scenario demand</x:v>
      </x:c>
      <x:c r="O8" s="21" t="str">
        <x:v>Days to release</x:v>
      </x:c>
      <x:c r="P8" s="21" t="str">
        <x:v>Booked load</x:v>
      </x:c>
      <x:c r="Q8" s="21" t="str">
        <x:v>Unbooked AUD</x:v>
      </x:c>
      <x:c r="R8" s="21" t="str">
        <x:v>Release seats</x:v>
      </x:c>
      <x:c r="S8" s="21" t="str">
        <x:v>Retain seats</x:v>
      </x:c>
      <x:c r="T8" s="21" t="str">
        <x:v>Served pax</x:v>
      </x:c>
      <x:c r="U8" s="21" t="str">
        <x:v>Contribution AUD</x:v>
      </x:c>
      <x:c r="V8" s="21" t="str">
        <x:v>Benefit AUD</x:v>
      </x:c>
      <x:c r="W8" s="21" t="str">
        <x:v>Budget revenue AUD</x:v>
      </x:c>
      <x:c r="X8" s="21" t="str">
        <x:v>Forecast revenue AUD</x:v>
      </x:c>
      <x:c r="Y8" s="21" t="str">
        <x:v>Variance AUD</x:v>
      </x:c>
      <x:c r="Z8" s="21" t="str">
        <x:v>Prior-year pax</x:v>
      </x:c>
      <x:c r="AA8" s="21" t="str">
        <x:v>Departure month</x:v>
      </x:c>
    </x:row>
    <x:row r="9" ht="22" customHeight="1">
      <x:c r="A9" s="2" t="str">
        <x:v>TC-01001</x:v>
      </x:c>
      <x:c r="B9" s="2" t="str">
        <x:v>BNE-AKL</x:v>
      </x:c>
      <x:c r="C9" s="12" t="n">
        <x:v>46344</x:v>
      </x:c>
      <x:c r="D9" s="12" t="n">
        <x:v>46299</x:v>
      </x:c>
      <x:c r="E9" s="15" t="n">
        <x:v>28</x:v>
      </x:c>
      <x:c r="F9" s="17" t="n">
        <x:f>SUMIFS('Bookings'!$D$6:$D$753,'Bookings'!$B$6:$B$753,A9)</x:f>
        <x:v>25</x:v>
      </x:c>
      <x:c r="G9" s="15" t="n">
        <x:v>28</x:v>
      </x:c>
      <x:c r="H9" s="15" t="n">
        <x:v>24</x:v>
      </x:c>
      <x:c r="I9" s="16" t="n">
        <x:v>690</x:v>
      </x:c>
      <x:c r="J9" s="16" t="n">
        <x:v>990</x:v>
      </x:c>
      <x:c r="K9" s="16" t="n">
        <x:v>83</x:v>
      </x:c>
      <x:c r="L9" s="15" t="n">
        <x:v>14</x:v>
      </x:c>
      <x:c r="M9" s="15" t="n">
        <x:v>10</x:v>
      </x:c>
      <x:c r="N9" s="2" t="n">
        <x:f>MAX(F9,ROUND(G9*(1+$B$5),0))</x:f>
        <x:v>28</x:v>
      </x:c>
      <x:c r="O9" s="2" t="n">
        <x:f>D9-$B$3</x:f>
        <x:v>-5</x:v>
      </x:c>
      <x:c r="P9" s="6" t="n">
        <x:f>F9/E9</x:f>
        <x:v>0.8928571428571429</x:v>
      </x:c>
      <x:c r="Q9" s="14" t="n">
        <x:f>(E9-F9)*I9</x:f>
        <x:v>2070</x:v>
      </x:c>
      <x:c r="R9" s="2" t="n">
        <x:f>IF(O9&lt;0,0,MAX(0,MIN(L9,E9-MAX(F9,M9,N9+$B$4))))</x:f>
        <x:v>0</x:v>
      </x:c>
      <x:c r="S9" s="2" t="n">
        <x:f>E9-R9</x:f>
        <x:v>28</x:v>
      </x:c>
      <x:c r="T9" s="2" t="n">
        <x:f>MIN(N9,S9)</x:f>
        <x:v>28</x:v>
      </x:c>
      <x:c r="U9" s="14" t="n">
        <x:f>T9*J9-S9*I9-R9*K9</x:f>
        <x:v>8400</x:v>
      </x:c>
      <x:c r="V9" s="14" t="n">
        <x:f>U9-(MIN(N9,E9)*J9-E9*I9)</x:f>
        <x:v>0</x:v>
      </x:c>
      <x:c r="W9" s="14" t="n">
        <x:f>H9*J9</x:f>
        <x:v>23760</x:v>
      </x:c>
      <x:c r="X9" s="14" t="n">
        <x:f>MIN(N9,E9)*J9</x:f>
        <x:v>27720</x:v>
      </x:c>
      <x:c r="Y9" s="14" t="n">
        <x:f>X9-W9</x:f>
        <x:v>3960</x:v>
      </x:c>
      <x:c r="Z9" s="2" t="n">
        <x:v>21</x:v>
      </x:c>
      <x:c r="AA9" s="13" t="n">
        <x:v>46327</x:v>
      </x:c>
    </x:row>
    <x:row r="10" ht="22" customHeight="1">
      <x:c r="A10" s="2" t="str">
        <x:v>TC-01002</x:v>
      </x:c>
      <x:c r="B10" s="2" t="str">
        <x:v>BNE-AKL</x:v>
      </x:c>
      <x:c r="C10" s="12" t="n">
        <x:v>46362</x:v>
      </x:c>
      <x:c r="D10" s="12" t="n">
        <x:v>46317</x:v>
      </x:c>
      <x:c r="E10" s="15" t="n">
        <x:v>32</x:v>
      </x:c>
      <x:c r="F10" s="17" t="n">
        <x:f>SUMIFS('Bookings'!$D$6:$D$753,'Bookings'!$B$6:$B$753,A10)</x:f>
        <x:v>23</x:v>
      </x:c>
      <x:c r="G10" s="15" t="n">
        <x:v>29</x:v>
      </x:c>
      <x:c r="H10" s="15" t="n">
        <x:v>27</x:v>
      </x:c>
      <x:c r="I10" s="16" t="n">
        <x:v>690</x:v>
      </x:c>
      <x:c r="J10" s="16" t="n">
        <x:v>990</x:v>
      </x:c>
      <x:c r="K10" s="16" t="n">
        <x:v>83</x:v>
      </x:c>
      <x:c r="L10" s="15" t="n">
        <x:v>16</x:v>
      </x:c>
      <x:c r="M10" s="15" t="n">
        <x:v>10</x:v>
      </x:c>
      <x:c r="N10" s="2" t="n">
        <x:f>MAX(F10,ROUND(G10*(1+$B$5),0))</x:f>
        <x:v>29</x:v>
      </x:c>
      <x:c r="O10" s="2" t="n">
        <x:f>D10-$B$3</x:f>
        <x:v>13</x:v>
      </x:c>
      <x:c r="P10" s="6" t="n">
        <x:f>F10/E10</x:f>
        <x:v>0.71875</x:v>
      </x:c>
      <x:c r="Q10" s="14" t="n">
        <x:f>(E10-F10)*I10</x:f>
        <x:v>6210</x:v>
      </x:c>
      <x:c r="R10" s="2" t="n">
        <x:f>IF(O10&lt;0,0,MAX(0,MIN(L10,E10-MAX(F10,M10,N10+$B$4))))</x:f>
        <x:v>1</x:v>
      </x:c>
      <x:c r="S10" s="2" t="n">
        <x:f>E10-R10</x:f>
        <x:v>31</x:v>
      </x:c>
      <x:c r="T10" s="2" t="n">
        <x:f>MIN(N10,S10)</x:f>
        <x:v>29</x:v>
      </x:c>
      <x:c r="U10" s="14" t="n">
        <x:f>T10*J10-S10*I10-R10*K10</x:f>
        <x:v>7237</x:v>
      </x:c>
      <x:c r="V10" s="14" t="n">
        <x:f>U10-(MIN(N10,E10)*J10-E10*I10)</x:f>
        <x:v>607</x:v>
      </x:c>
      <x:c r="W10" s="14" t="n">
        <x:f>H10*J10</x:f>
        <x:v>26730</x:v>
      </x:c>
      <x:c r="X10" s="14" t="n">
        <x:f>MIN(N10,E10)*J10</x:f>
        <x:v>28710</x:v>
      </x:c>
      <x:c r="Y10" s="14" t="n">
        <x:f>X10-W10</x:f>
        <x:v>1980</x:v>
      </x:c>
      <x:c r="Z10" s="2" t="n">
        <x:v>19</x:v>
      </x:c>
      <x:c r="AA10" s="13" t="n">
        <x:v>46357</x:v>
      </x:c>
    </x:row>
    <x:row r="11" ht="22" customHeight="1">
      <x:c r="A11" s="2" t="str">
        <x:v>TC-01003</x:v>
      </x:c>
      <x:c r="B11" s="2" t="str">
        <x:v>BNE-AKL</x:v>
      </x:c>
      <x:c r="C11" s="12" t="n">
        <x:v>46380</x:v>
      </x:c>
      <x:c r="D11" s="12" t="n">
        <x:v>46335</x:v>
      </x:c>
      <x:c r="E11" s="15" t="n">
        <x:v>36</x:v>
      </x:c>
      <x:c r="F11" s="17" t="n">
        <x:f>SUMIFS('Bookings'!$D$6:$D$753,'Bookings'!$B$6:$B$753,A11)</x:f>
        <x:v>24</x:v>
      </x:c>
      <x:c r="G11" s="15" t="n">
        <x:v>34</x:v>
      </x:c>
      <x:c r="H11" s="15" t="n">
        <x:v>31</x:v>
      </x:c>
      <x:c r="I11" s="16" t="n">
        <x:v>690</x:v>
      </x:c>
      <x:c r="J11" s="16" t="n">
        <x:v>990</x:v>
      </x:c>
      <x:c r="K11" s="16" t="n">
        <x:v>83</x:v>
      </x:c>
      <x:c r="L11" s="15" t="n">
        <x:v>18</x:v>
      </x:c>
      <x:c r="M11" s="15" t="n">
        <x:v>10</x:v>
      </x:c>
      <x:c r="N11" s="2" t="n">
        <x:f>MAX(F11,ROUND(G11*(1+$B$5),0))</x:f>
        <x:v>34</x:v>
      </x:c>
      <x:c r="O11" s="2" t="n">
        <x:f>D11-$B$3</x:f>
        <x:v>31</x:v>
      </x:c>
      <x:c r="P11" s="6" t="n">
        <x:f>F11/E11</x:f>
        <x:v>0.6666666666666666</x:v>
      </x:c>
      <x:c r="Q11" s="14" t="n">
        <x:f>(E11-F11)*I11</x:f>
        <x:v>8280</x:v>
      </x:c>
      <x:c r="R11" s="2" t="n">
        <x:f>IF(O11&lt;0,0,MAX(0,MIN(L11,E11-MAX(F11,M11,N11+$B$4))))</x:f>
        <x:v>0</x:v>
      </x:c>
      <x:c r="S11" s="2" t="n">
        <x:f>E11-R11</x:f>
        <x:v>36</x:v>
      </x:c>
      <x:c r="T11" s="2" t="n">
        <x:f>MIN(N11,S11)</x:f>
        <x:v>34</x:v>
      </x:c>
      <x:c r="U11" s="14" t="n">
        <x:f>T11*J11-S11*I11-R11*K11</x:f>
        <x:v>8820</x:v>
      </x:c>
      <x:c r="V11" s="14" t="n">
        <x:f>U11-(MIN(N11,E11)*J11-E11*I11)</x:f>
        <x:v>0</x:v>
      </x:c>
      <x:c r="W11" s="14" t="n">
        <x:f>H11*J11</x:f>
        <x:v>30690</x:v>
      </x:c>
      <x:c r="X11" s="14" t="n">
        <x:f>MIN(N11,E11)*J11</x:f>
        <x:v>33660</x:v>
      </x:c>
      <x:c r="Y11" s="14" t="n">
        <x:f>X11-W11</x:f>
        <x:v>2970</x:v>
      </x:c>
      <x:c r="Z11" s="2" t="n">
        <x:v>24</x:v>
      </x:c>
      <x:c r="AA11" s="13" t="n">
        <x:v>46357</x:v>
      </x:c>
    </x:row>
    <x:row r="12" ht="22" customHeight="1">
      <x:c r="A12" s="2" t="str">
        <x:v>TC-01004</x:v>
      </x:c>
      <x:c r="B12" s="2" t="str">
        <x:v>BNE-AKL</x:v>
      </x:c>
      <x:c r="C12" s="12" t="n">
        <x:v>46398</x:v>
      </x:c>
      <x:c r="D12" s="12" t="n">
        <x:v>46353</x:v>
      </x:c>
      <x:c r="E12" s="15" t="n">
        <x:v>40</x:v>
      </x:c>
      <x:c r="F12" s="17" t="n">
        <x:f>SUMIFS('Bookings'!$D$6:$D$753,'Bookings'!$B$6:$B$753,A12)</x:f>
        <x:v>22</x:v>
      </x:c>
      <x:c r="G12" s="15" t="n">
        <x:v>36</x:v>
      </x:c>
      <x:c r="H12" s="15" t="n">
        <x:v>34</x:v>
      </x:c>
      <x:c r="I12" s="16" t="n">
        <x:v>690</x:v>
      </x:c>
      <x:c r="J12" s="16" t="n">
        <x:v>990</x:v>
      </x:c>
      <x:c r="K12" s="16" t="n">
        <x:v>83</x:v>
      </x:c>
      <x:c r="L12" s="15" t="n">
        <x:v>20</x:v>
      </x:c>
      <x:c r="M12" s="15" t="n">
        <x:v>10</x:v>
      </x:c>
      <x:c r="N12" s="2" t="n">
        <x:f>MAX(F12,ROUND(G12*(1+$B$5),0))</x:f>
        <x:v>36</x:v>
      </x:c>
      <x:c r="O12" s="2" t="n">
        <x:f>D12-$B$3</x:f>
        <x:v>49</x:v>
      </x:c>
      <x:c r="P12" s="6" t="n">
        <x:f>F12/E12</x:f>
        <x:v>0.55</x:v>
      </x:c>
      <x:c r="Q12" s="14" t="n">
        <x:f>(E12-F12)*I12</x:f>
        <x:v>12420</x:v>
      </x:c>
      <x:c r="R12" s="2" t="n">
        <x:f>IF(O12&lt;0,0,MAX(0,MIN(L12,E12-MAX(F12,M12,N12+$B$4))))</x:f>
        <x:v>2</x:v>
      </x:c>
      <x:c r="S12" s="2" t="n">
        <x:f>E12-R12</x:f>
        <x:v>38</x:v>
      </x:c>
      <x:c r="T12" s="2" t="n">
        <x:f>MIN(N12,S12)</x:f>
        <x:v>36</x:v>
      </x:c>
      <x:c r="U12" s="14" t="n">
        <x:f>T12*J12-S12*I12-R12*K12</x:f>
        <x:v>9254</x:v>
      </x:c>
      <x:c r="V12" s="14" t="n">
        <x:f>U12-(MIN(N12,E12)*J12-E12*I12)</x:f>
        <x:v>1214</x:v>
      </x:c>
      <x:c r="W12" s="14" t="n">
        <x:f>H12*J12</x:f>
        <x:v>33660</x:v>
      </x:c>
      <x:c r="X12" s="14" t="n">
        <x:f>MIN(N12,E12)*J12</x:f>
        <x:v>35640</x:v>
      </x:c>
      <x:c r="Y12" s="14" t="n">
        <x:f>X12-W12</x:f>
        <x:v>1980</x:v>
      </x:c>
      <x:c r="Z12" s="2" t="n">
        <x:v>18</x:v>
      </x:c>
      <x:c r="AA12" s="13" t="n">
        <x:v>46388</x:v>
      </x:c>
    </x:row>
    <x:row r="13" ht="22" customHeight="1">
      <x:c r="A13" s="2" t="str">
        <x:v>TC-01005</x:v>
      </x:c>
      <x:c r="B13" s="2" t="str">
        <x:v>BNE-AKL</x:v>
      </x:c>
      <x:c r="C13" s="12" t="n">
        <x:v>46416</x:v>
      </x:c>
      <x:c r="D13" s="12" t="n">
        <x:v>46371</x:v>
      </x:c>
      <x:c r="E13" s="15" t="n">
        <x:v>28</x:v>
      </x:c>
      <x:c r="F13" s="17" t="n">
        <x:f>SUMIFS('Bookings'!$D$6:$D$753,'Bookings'!$B$6:$B$753,A13)</x:f>
        <x:v>14</x:v>
      </x:c>
      <x:c r="G13" s="15" t="n">
        <x:v>27</x:v>
      </x:c>
      <x:c r="H13" s="15" t="n">
        <x:v>24</x:v>
      </x:c>
      <x:c r="I13" s="16" t="n">
        <x:v>690</x:v>
      </x:c>
      <x:c r="J13" s="16" t="n">
        <x:v>990</x:v>
      </x:c>
      <x:c r="K13" s="16" t="n">
        <x:v>83</x:v>
      </x:c>
      <x:c r="L13" s="15" t="n">
        <x:v>14</x:v>
      </x:c>
      <x:c r="M13" s="15" t="n">
        <x:v>10</x:v>
      </x:c>
      <x:c r="N13" s="2" t="n">
        <x:f>MAX(F13,ROUND(G13*(1+$B$5),0))</x:f>
        <x:v>27</x:v>
      </x:c>
      <x:c r="O13" s="2" t="n">
        <x:f>D13-$B$3</x:f>
        <x:v>67</x:v>
      </x:c>
      <x:c r="P13" s="6" t="n">
        <x:f>F13/E13</x:f>
        <x:v>0.5</x:v>
      </x:c>
      <x:c r="Q13" s="14" t="n">
        <x:f>(E13-F13)*I13</x:f>
        <x:v>9660</x:v>
      </x:c>
      <x:c r="R13" s="2" t="n">
        <x:f>IF(O13&lt;0,0,MAX(0,MIN(L13,E13-MAX(F13,M13,N13+$B$4))))</x:f>
        <x:v>0</x:v>
      </x:c>
      <x:c r="S13" s="2" t="n">
        <x:f>E13-R13</x:f>
        <x:v>28</x:v>
      </x:c>
      <x:c r="T13" s="2" t="n">
        <x:f>MIN(N13,S13)</x:f>
        <x:v>27</x:v>
      </x:c>
      <x:c r="U13" s="14" t="n">
        <x:f>T13*J13-S13*I13-R13*K13</x:f>
        <x:v>7410</x:v>
      </x:c>
      <x:c r="V13" s="14" t="n">
        <x:f>U13-(MIN(N13,E13)*J13-E13*I13)</x:f>
        <x:v>0</x:v>
      </x:c>
      <x:c r="W13" s="14" t="n">
        <x:f>H13*J13</x:f>
        <x:v>23760</x:v>
      </x:c>
      <x:c r="X13" s="14" t="n">
        <x:f>MIN(N13,E13)*J13</x:f>
        <x:v>26730</x:v>
      </x:c>
      <x:c r="Y13" s="14" t="n">
        <x:f>X13-W13</x:f>
        <x:v>2970</x:v>
      </x:c>
      <x:c r="Z13" s="2" t="n">
        <x:v>15</x:v>
      </x:c>
      <x:c r="AA13" s="13" t="n">
        <x:v>46388</x:v>
      </x:c>
    </x:row>
    <x:row r="14" ht="22" customHeight="1">
      <x:c r="A14" s="2" t="str">
        <x:v>TC-01006</x:v>
      </x:c>
      <x:c r="B14" s="2" t="str">
        <x:v>BNE-AKL</x:v>
      </x:c>
      <x:c r="C14" s="12" t="n">
        <x:v>46434</x:v>
      </x:c>
      <x:c r="D14" s="12" t="n">
        <x:v>46389</x:v>
      </x:c>
      <x:c r="E14" s="15" t="n">
        <x:v>32</x:v>
      </x:c>
      <x:c r="F14" s="17" t="n">
        <x:f>SUMIFS('Bookings'!$D$6:$D$753,'Bookings'!$B$6:$B$753,A14)</x:f>
        <x:v>13</x:v>
      </x:c>
      <x:c r="G14" s="15" t="n">
        <x:v>29</x:v>
      </x:c>
      <x:c r="H14" s="15" t="n">
        <x:v>27</x:v>
      </x:c>
      <x:c r="I14" s="16" t="n">
        <x:v>690</x:v>
      </x:c>
      <x:c r="J14" s="16" t="n">
        <x:v>990</x:v>
      </x:c>
      <x:c r="K14" s="16" t="n">
        <x:v>83</x:v>
      </x:c>
      <x:c r="L14" s="15" t="n">
        <x:v>16</x:v>
      </x:c>
      <x:c r="M14" s="15" t="n">
        <x:v>10</x:v>
      </x:c>
      <x:c r="N14" s="2" t="n">
        <x:f>MAX(F14,ROUND(G14*(1+$B$5),0))</x:f>
        <x:v>29</x:v>
      </x:c>
      <x:c r="O14" s="2" t="n">
        <x:f>D14-$B$3</x:f>
        <x:v>85</x:v>
      </x:c>
      <x:c r="P14" s="6" t="n">
        <x:f>F14/E14</x:f>
        <x:v>0.40625</x:v>
      </x:c>
      <x:c r="Q14" s="14" t="n">
        <x:f>(E14-F14)*I14</x:f>
        <x:v>13110</x:v>
      </x:c>
      <x:c r="R14" s="2" t="n">
        <x:f>IF(O14&lt;0,0,MAX(0,MIN(L14,E14-MAX(F14,M14,N14+$B$4))))</x:f>
        <x:v>1</x:v>
      </x:c>
      <x:c r="S14" s="2" t="n">
        <x:f>E14-R14</x:f>
        <x:v>31</x:v>
      </x:c>
      <x:c r="T14" s="2" t="n">
        <x:f>MIN(N14,S14)</x:f>
        <x:v>29</x:v>
      </x:c>
      <x:c r="U14" s="14" t="n">
        <x:f>T14*J14-S14*I14-R14*K14</x:f>
        <x:v>7237</x:v>
      </x:c>
      <x:c r="V14" s="14" t="n">
        <x:f>U14-(MIN(N14,E14)*J14-E14*I14)</x:f>
        <x:v>607</x:v>
      </x:c>
      <x:c r="W14" s="14" t="n">
        <x:f>H14*J14</x:f>
        <x:v>26730</x:v>
      </x:c>
      <x:c r="X14" s="14" t="n">
        <x:f>MIN(N14,E14)*J14</x:f>
        <x:v>28710</x:v>
      </x:c>
      <x:c r="Y14" s="14" t="n">
        <x:f>X14-W14</x:f>
        <x:v>1980</x:v>
      </x:c>
      <x:c r="Z14" s="2" t="n">
        <x:v>13</x:v>
      </x:c>
      <x:c r="AA14" s="13" t="n">
        <x:v>46419</x:v>
      </x:c>
    </x:row>
    <x:row r="15" ht="22" customHeight="1">
      <x:c r="A15" s="2" t="str">
        <x:v>TC-01007</x:v>
      </x:c>
      <x:c r="B15" s="2" t="str">
        <x:v>BNE-AKL</x:v>
      </x:c>
      <x:c r="C15" s="12" t="n">
        <x:v>46452</x:v>
      </x:c>
      <x:c r="D15" s="12" t="n">
        <x:v>46407</x:v>
      </x:c>
      <x:c r="E15" s="15" t="n">
        <x:v>36</x:v>
      </x:c>
      <x:c r="F15" s="17" t="n">
        <x:f>SUMIFS('Bookings'!$D$6:$D$753,'Bookings'!$B$6:$B$753,A15)</x:f>
        <x:v>13</x:v>
      </x:c>
      <x:c r="G15" s="15" t="n">
        <x:v>34</x:v>
      </x:c>
      <x:c r="H15" s="15" t="n">
        <x:v>31</x:v>
      </x:c>
      <x:c r="I15" s="16" t="n">
        <x:v>690</x:v>
      </x:c>
      <x:c r="J15" s="16" t="n">
        <x:v>990</x:v>
      </x:c>
      <x:c r="K15" s="16" t="n">
        <x:v>83</x:v>
      </x:c>
      <x:c r="L15" s="15" t="n">
        <x:v>18</x:v>
      </x:c>
      <x:c r="M15" s="15" t="n">
        <x:v>10</x:v>
      </x:c>
      <x:c r="N15" s="2" t="n">
        <x:f>MAX(F15,ROUND(G15*(1+$B$5),0))</x:f>
        <x:v>34</x:v>
      </x:c>
      <x:c r="O15" s="2" t="n">
        <x:f>D15-$B$3</x:f>
        <x:v>103</x:v>
      </x:c>
      <x:c r="P15" s="6" t="n">
        <x:f>F15/E15</x:f>
        <x:v>0.3611111111111111</x:v>
      </x:c>
      <x:c r="Q15" s="14" t="n">
        <x:f>(E15-F15)*I15</x:f>
        <x:v>15870</x:v>
      </x:c>
      <x:c r="R15" s="2" t="n">
        <x:f>IF(O15&lt;0,0,MAX(0,MIN(L15,E15-MAX(F15,M15,N15+$B$4))))</x:f>
        <x:v>0</x:v>
      </x:c>
      <x:c r="S15" s="2" t="n">
        <x:f>E15-R15</x:f>
        <x:v>36</x:v>
      </x:c>
      <x:c r="T15" s="2" t="n">
        <x:f>MIN(N15,S15)</x:f>
        <x:v>34</x:v>
      </x:c>
      <x:c r="U15" s="14" t="n">
        <x:f>T15*J15-S15*I15-R15*K15</x:f>
        <x:v>8820</x:v>
      </x:c>
      <x:c r="V15" s="14" t="n">
        <x:f>U15-(MIN(N15,E15)*J15-E15*I15)</x:f>
        <x:v>0</x:v>
      </x:c>
      <x:c r="W15" s="14" t="n">
        <x:f>H15*J15</x:f>
        <x:v>30690</x:v>
      </x:c>
      <x:c r="X15" s="14" t="n">
        <x:f>MIN(N15,E15)*J15</x:f>
        <x:v>33660</x:v>
      </x:c>
      <x:c r="Y15" s="14" t="n">
        <x:f>X15-W15</x:f>
        <x:v>2970</x:v>
      </x:c>
      <x:c r="Z15" s="2" t="n">
        <x:v>14</x:v>
      </x:c>
      <x:c r="AA15" s="13" t="n">
        <x:v>46447</x:v>
      </x:c>
    </x:row>
    <x:row r="16" ht="22" customHeight="1">
      <x:c r="A16" s="2" t="str">
        <x:v>TC-01008</x:v>
      </x:c>
      <x:c r="B16" s="2" t="str">
        <x:v>BNE-AKL</x:v>
      </x:c>
      <x:c r="C16" s="12" t="n">
        <x:v>46470</x:v>
      </x:c>
      <x:c r="D16" s="12" t="n">
        <x:v>46425</x:v>
      </x:c>
      <x:c r="E16" s="15" t="n">
        <x:v>40</x:v>
      </x:c>
      <x:c r="F16" s="17" t="n">
        <x:f>SUMIFS('Bookings'!$D$6:$D$753,'Bookings'!$B$6:$B$753,A16)</x:f>
        <x:v>11</x:v>
      </x:c>
      <x:c r="G16" s="15" t="n">
        <x:v>35</x:v>
      </x:c>
      <x:c r="H16" s="15" t="n">
        <x:v>34</x:v>
      </x:c>
      <x:c r="I16" s="16" t="n">
        <x:v>690</x:v>
      </x:c>
      <x:c r="J16" s="16" t="n">
        <x:v>990</x:v>
      </x:c>
      <x:c r="K16" s="16" t="n">
        <x:v>83</x:v>
      </x:c>
      <x:c r="L16" s="15" t="n">
        <x:v>20</x:v>
      </x:c>
      <x:c r="M16" s="15" t="n">
        <x:v>10</x:v>
      </x:c>
      <x:c r="N16" s="2" t="n">
        <x:f>MAX(F16,ROUND(G16*(1+$B$5),0))</x:f>
        <x:v>35</x:v>
      </x:c>
      <x:c r="O16" s="2" t="n">
        <x:f>D16-$B$3</x:f>
        <x:v>121</x:v>
      </x:c>
      <x:c r="P16" s="6" t="n">
        <x:f>F16/E16</x:f>
        <x:v>0.275</x:v>
      </x:c>
      <x:c r="Q16" s="14" t="n">
        <x:f>(E16-F16)*I16</x:f>
        <x:v>20010</x:v>
      </x:c>
      <x:c r="R16" s="2" t="n">
        <x:f>IF(O16&lt;0,0,MAX(0,MIN(L16,E16-MAX(F16,M16,N16+$B$4))))</x:f>
        <x:v>3</x:v>
      </x:c>
      <x:c r="S16" s="2" t="n">
        <x:f>E16-R16</x:f>
        <x:v>37</x:v>
      </x:c>
      <x:c r="T16" s="2" t="n">
        <x:f>MIN(N16,S16)</x:f>
        <x:v>35</x:v>
      </x:c>
      <x:c r="U16" s="14" t="n">
        <x:f>T16*J16-S16*I16-R16*K16</x:f>
        <x:v>8871</x:v>
      </x:c>
      <x:c r="V16" s="14" t="n">
        <x:f>U16-(MIN(N16,E16)*J16-E16*I16)</x:f>
        <x:v>1821</x:v>
      </x:c>
      <x:c r="W16" s="14" t="n">
        <x:f>H16*J16</x:f>
        <x:v>33660</x:v>
      </x:c>
      <x:c r="X16" s="14" t="n">
        <x:f>MIN(N16,E16)*J16</x:f>
        <x:v>34650</x:v>
      </x:c>
      <x:c r="Y16" s="14" t="n">
        <x:f>X16-W16</x:f>
        <x:v>990</x:v>
      </x:c>
      <x:c r="Z16" s="2" t="n">
        <x:v>11</x:v>
      </x:c>
      <x:c r="AA16" s="13" t="n">
        <x:v>46447</x:v>
      </x:c>
    </x:row>
    <x:row r="17" ht="22" customHeight="1">
      <x:c r="A17" s="2" t="str">
        <x:v>TC-02001</x:v>
      </x:c>
      <x:c r="B17" s="2" t="str">
        <x:v>SYD-TYO</x:v>
      </x:c>
      <x:c r="C17" s="12" t="n">
        <x:v>46347</x:v>
      </x:c>
      <x:c r="D17" s="12" t="n">
        <x:v>46302</x:v>
      </x:c>
      <x:c r="E17" s="15" t="n">
        <x:v>32</x:v>
      </x:c>
      <x:c r="F17" s="17" t="n">
        <x:f>SUMIFS('Bookings'!$D$6:$D$753,'Bookings'!$B$6:$B$753,A17)</x:f>
        <x:v>27</x:v>
      </x:c>
      <x:c r="G17" s="15" t="n">
        <x:v>31</x:v>
      </x:c>
      <x:c r="H17" s="15" t="n">
        <x:v>27</x:v>
      </x:c>
      <x:c r="I17" s="16" t="n">
        <x:v>1420</x:v>
      </x:c>
      <x:c r="J17" s="16" t="n">
        <x:v>1870</x:v>
      </x:c>
      <x:c r="K17" s="16" t="n">
        <x:v>170</x:v>
      </x:c>
      <x:c r="L17" s="15" t="n">
        <x:v>16</x:v>
      </x:c>
      <x:c r="M17" s="15" t="n">
        <x:v>10</x:v>
      </x:c>
      <x:c r="N17" s="2" t="n">
        <x:f>MAX(F17,ROUND(G17*(1+$B$5),0))</x:f>
        <x:v>31</x:v>
      </x:c>
      <x:c r="O17" s="2" t="n">
        <x:f>D17-$B$3</x:f>
        <x:v>-2</x:v>
      </x:c>
      <x:c r="P17" s="6" t="n">
        <x:f>F17/E17</x:f>
        <x:v>0.84375</x:v>
      </x:c>
      <x:c r="Q17" s="14" t="n">
        <x:f>(E17-F17)*I17</x:f>
        <x:v>7100</x:v>
      </x:c>
      <x:c r="R17" s="2" t="n">
        <x:f>IF(O17&lt;0,0,MAX(0,MIN(L17,E17-MAX(F17,M17,N17+$B$4))))</x:f>
        <x:v>0</x:v>
      </x:c>
      <x:c r="S17" s="2" t="n">
        <x:f>E17-R17</x:f>
        <x:v>32</x:v>
      </x:c>
      <x:c r="T17" s="2" t="n">
        <x:f>MIN(N17,S17)</x:f>
        <x:v>31</x:v>
      </x:c>
      <x:c r="U17" s="14" t="n">
        <x:f>T17*J17-S17*I17-R17*K17</x:f>
        <x:v>12530</x:v>
      </x:c>
      <x:c r="V17" s="14" t="n">
        <x:f>U17-(MIN(N17,E17)*J17-E17*I17)</x:f>
        <x:v>0</x:v>
      </x:c>
      <x:c r="W17" s="14" t="n">
        <x:f>H17*J17</x:f>
        <x:v>50490</x:v>
      </x:c>
      <x:c r="X17" s="14" t="n">
        <x:f>MIN(N17,E17)*J17</x:f>
        <x:v>57970</x:v>
      </x:c>
      <x:c r="Y17" s="14" t="n">
        <x:f>X17-W17</x:f>
        <x:v>7480</x:v>
      </x:c>
      <x:c r="Z17" s="2" t="n">
        <x:v>24</x:v>
      </x:c>
      <x:c r="AA17" s="13" t="n">
        <x:v>46327</x:v>
      </x:c>
    </x:row>
    <x:row r="18" ht="22" customHeight="1">
      <x:c r="A18" s="2" t="str">
        <x:v>TC-02002</x:v>
      </x:c>
      <x:c r="B18" s="2" t="str">
        <x:v>SYD-TYO</x:v>
      </x:c>
      <x:c r="C18" s="12" t="n">
        <x:v>46365</x:v>
      </x:c>
      <x:c r="D18" s="12" t="n">
        <x:v>46320</x:v>
      </x:c>
      <x:c r="E18" s="15" t="n">
        <x:v>36</x:v>
      </x:c>
      <x:c r="F18" s="17" t="n">
        <x:f>SUMIFS('Bookings'!$D$6:$D$753,'Bookings'!$B$6:$B$753,A18)</x:f>
        <x:v>30</x:v>
      </x:c>
      <x:c r="G18" s="15" t="n">
        <x:v>36</x:v>
      </x:c>
      <x:c r="H18" s="15" t="n">
        <x:v>31</x:v>
      </x:c>
      <x:c r="I18" s="16" t="n">
        <x:v>1420</x:v>
      </x:c>
      <x:c r="J18" s="16" t="n">
        <x:v>1870</x:v>
      </x:c>
      <x:c r="K18" s="16" t="n">
        <x:v>170</x:v>
      </x:c>
      <x:c r="L18" s="15" t="n">
        <x:v>18</x:v>
      </x:c>
      <x:c r="M18" s="15" t="n">
        <x:v>10</x:v>
      </x:c>
      <x:c r="N18" s="2" t="n">
        <x:f>MAX(F18,ROUND(G18*(1+$B$5),0))</x:f>
        <x:v>36</x:v>
      </x:c>
      <x:c r="O18" s="2" t="n">
        <x:f>D18-$B$3</x:f>
        <x:v>16</x:v>
      </x:c>
      <x:c r="P18" s="6" t="n">
        <x:f>F18/E18</x:f>
        <x:v>0.8333333333333334</x:v>
      </x:c>
      <x:c r="Q18" s="14" t="n">
        <x:f>(E18-F18)*I18</x:f>
        <x:v>8520</x:v>
      </x:c>
      <x:c r="R18" s="2" t="n">
        <x:f>IF(O18&lt;0,0,MAX(0,MIN(L18,E18-MAX(F18,M18,N18+$B$4))))</x:f>
        <x:v>0</x:v>
      </x:c>
      <x:c r="S18" s="2" t="n">
        <x:f>E18-R18</x:f>
        <x:v>36</x:v>
      </x:c>
      <x:c r="T18" s="2" t="n">
        <x:f>MIN(N18,S18)</x:f>
        <x:v>36</x:v>
      </x:c>
      <x:c r="U18" s="14" t="n">
        <x:f>T18*J18-S18*I18-R18*K18</x:f>
        <x:v>16200</x:v>
      </x:c>
      <x:c r="V18" s="14" t="n">
        <x:f>U18-(MIN(N18,E18)*J18-E18*I18)</x:f>
        <x:v>0</x:v>
      </x:c>
      <x:c r="W18" s="14" t="n">
        <x:f>H18*J18</x:f>
        <x:v>57970</x:v>
      </x:c>
      <x:c r="X18" s="14" t="n">
        <x:f>MIN(N18,E18)*J18</x:f>
        <x:v>67320</x:v>
      </x:c>
      <x:c r="Y18" s="14" t="n">
        <x:f>X18-W18</x:f>
        <x:v>9350</x:v>
      </x:c>
      <x:c r="Z18" s="2" t="n">
        <x:v>27</x:v>
      </x:c>
      <x:c r="AA18" s="13" t="n">
        <x:v>46357</x:v>
      </x:c>
    </x:row>
    <x:row r="19" ht="22" customHeight="1">
      <x:c r="A19" s="2" t="str">
        <x:v>TC-02003</x:v>
      </x:c>
      <x:c r="B19" s="2" t="str">
        <x:v>SYD-TYO</x:v>
      </x:c>
      <x:c r="C19" s="12" t="n">
        <x:v>46383</x:v>
      </x:c>
      <x:c r="D19" s="12" t="n">
        <x:v>46338</x:v>
      </x:c>
      <x:c r="E19" s="15" t="n">
        <x:v>40</x:v>
      </x:c>
      <x:c r="F19" s="17" t="n">
        <x:f>SUMIFS('Bookings'!$D$6:$D$753,'Bookings'!$B$6:$B$753,A19)</x:f>
        <x:v>27</x:v>
      </x:c>
      <x:c r="G19" s="15" t="n">
        <x:v>39</x:v>
      </x:c>
      <x:c r="H19" s="15" t="n">
        <x:v>34</x:v>
      </x:c>
      <x:c r="I19" s="16" t="n">
        <x:v>1420</x:v>
      </x:c>
      <x:c r="J19" s="16" t="n">
        <x:v>1870</x:v>
      </x:c>
      <x:c r="K19" s="16" t="n">
        <x:v>170</x:v>
      </x:c>
      <x:c r="L19" s="15" t="n">
        <x:v>20</x:v>
      </x:c>
      <x:c r="M19" s="15" t="n">
        <x:v>10</x:v>
      </x:c>
      <x:c r="N19" s="2" t="n">
        <x:f>MAX(F19,ROUND(G19*(1+$B$5),0))</x:f>
        <x:v>39</x:v>
      </x:c>
      <x:c r="O19" s="2" t="n">
        <x:f>D19-$B$3</x:f>
        <x:v>34</x:v>
      </x:c>
      <x:c r="P19" s="6" t="n">
        <x:f>F19/E19</x:f>
        <x:v>0.675</x:v>
      </x:c>
      <x:c r="Q19" s="14" t="n">
        <x:f>(E19-F19)*I19</x:f>
        <x:v>18460</x:v>
      </x:c>
      <x:c r="R19" s="2" t="n">
        <x:f>IF(O19&lt;0,0,MAX(0,MIN(L19,E19-MAX(F19,M19,N19+$B$4))))</x:f>
        <x:v>0</x:v>
      </x:c>
      <x:c r="S19" s="2" t="n">
        <x:f>E19-R19</x:f>
        <x:v>40</x:v>
      </x:c>
      <x:c r="T19" s="2" t="n">
        <x:f>MIN(N19,S19)</x:f>
        <x:v>39</x:v>
      </x:c>
      <x:c r="U19" s="14" t="n">
        <x:f>T19*J19-S19*I19-R19*K19</x:f>
        <x:v>16130</x:v>
      </x:c>
      <x:c r="V19" s="14" t="n">
        <x:f>U19-(MIN(N19,E19)*J19-E19*I19)</x:f>
        <x:v>0</x:v>
      </x:c>
      <x:c r="W19" s="14" t="n">
        <x:f>H19*J19</x:f>
        <x:v>63580</x:v>
      </x:c>
      <x:c r="X19" s="14" t="n">
        <x:f>MIN(N19,E19)*J19</x:f>
        <x:v>72930</x:v>
      </x:c>
      <x:c r="Y19" s="14" t="n">
        <x:f>X19-W19</x:f>
        <x:v>9350</x:v>
      </x:c>
      <x:c r="Z19" s="2" t="n">
        <x:v>28</x:v>
      </x:c>
      <x:c r="AA19" s="13" t="n">
        <x:v>46357</x:v>
      </x:c>
    </x:row>
    <x:row r="20" ht="22" customHeight="1">
      <x:c r="A20" s="2" t="str">
        <x:v>TC-02004</x:v>
      </x:c>
      <x:c r="B20" s="2" t="str">
        <x:v>SYD-TYO</x:v>
      </x:c>
      <x:c r="C20" s="12" t="n">
        <x:v>46401</x:v>
      </x:c>
      <x:c r="D20" s="12" t="n">
        <x:v>46356</x:v>
      </x:c>
      <x:c r="E20" s="15" t="n">
        <x:v>28</x:v>
      </x:c>
      <x:c r="F20" s="17" t="n">
        <x:f>SUMIFS('Bookings'!$D$6:$D$753,'Bookings'!$B$6:$B$753,A20)</x:f>
        <x:v>18</x:v>
      </x:c>
      <x:c r="G20" s="15" t="n">
        <x:v>28</x:v>
      </x:c>
      <x:c r="H20" s="15" t="n">
        <x:v>24</x:v>
      </x:c>
      <x:c r="I20" s="16" t="n">
        <x:v>1420</x:v>
      </x:c>
      <x:c r="J20" s="16" t="n">
        <x:v>1870</x:v>
      </x:c>
      <x:c r="K20" s="16" t="n">
        <x:v>170</x:v>
      </x:c>
      <x:c r="L20" s="15" t="n">
        <x:v>14</x:v>
      </x:c>
      <x:c r="M20" s="15" t="n">
        <x:v>10</x:v>
      </x:c>
      <x:c r="N20" s="2" t="n">
        <x:f>MAX(F20,ROUND(G20*(1+$B$5),0))</x:f>
        <x:v>28</x:v>
      </x:c>
      <x:c r="O20" s="2" t="n">
        <x:f>D20-$B$3</x:f>
        <x:v>52</x:v>
      </x:c>
      <x:c r="P20" s="6" t="n">
        <x:f>F20/E20</x:f>
        <x:v>0.6428571428571429</x:v>
      </x:c>
      <x:c r="Q20" s="14" t="n">
        <x:f>(E20-F20)*I20</x:f>
        <x:v>14200</x:v>
      </x:c>
      <x:c r="R20" s="2" t="n">
        <x:f>IF(O20&lt;0,0,MAX(0,MIN(L20,E20-MAX(F20,M20,N20+$B$4))))</x:f>
        <x:v>0</x:v>
      </x:c>
      <x:c r="S20" s="2" t="n">
        <x:f>E20-R20</x:f>
        <x:v>28</x:v>
      </x:c>
      <x:c r="T20" s="2" t="n">
        <x:f>MIN(N20,S20)</x:f>
        <x:v>28</x:v>
      </x:c>
      <x:c r="U20" s="14" t="n">
        <x:f>T20*J20-S20*I20-R20*K20</x:f>
        <x:v>12600</x:v>
      </x:c>
      <x:c r="V20" s="14" t="n">
        <x:f>U20-(MIN(N20,E20)*J20-E20*I20)</x:f>
        <x:v>0</x:v>
      </x:c>
      <x:c r="W20" s="14" t="n">
        <x:f>H20*J20</x:f>
        <x:v>44880</x:v>
      </x:c>
      <x:c r="X20" s="14" t="n">
        <x:f>MIN(N20,E20)*J20</x:f>
        <x:v>52360</x:v>
      </x:c>
      <x:c r="Y20" s="14" t="n">
        <x:f>X20-W20</x:f>
        <x:v>7480</x:v>
      </x:c>
      <x:c r="Z20" s="2" t="n">
        <x:v>15</x:v>
      </x:c>
      <x:c r="AA20" s="13" t="n">
        <x:v>46388</x:v>
      </x:c>
    </x:row>
    <x:row r="21" ht="22" customHeight="1">
      <x:c r="A21" s="2" t="str">
        <x:v>TC-02005</x:v>
      </x:c>
      <x:c r="B21" s="2" t="str">
        <x:v>SYD-TYO</x:v>
      </x:c>
      <x:c r="C21" s="12" t="n">
        <x:v>46419</x:v>
      </x:c>
      <x:c r="D21" s="12" t="n">
        <x:v>46374</x:v>
      </x:c>
      <x:c r="E21" s="15" t="n">
        <x:v>32</x:v>
      </x:c>
      <x:c r="F21" s="17" t="n">
        <x:f>SUMIFS('Bookings'!$D$6:$D$753,'Bookings'!$B$6:$B$753,A21)</x:f>
        <x:v>16</x:v>
      </x:c>
      <x:c r="G21" s="15" t="n">
        <x:v>32</x:v>
      </x:c>
      <x:c r="H21" s="15" t="n">
        <x:v>27</x:v>
      </x:c>
      <x:c r="I21" s="16" t="n">
        <x:v>1420</x:v>
      </x:c>
      <x:c r="J21" s="16" t="n">
        <x:v>1870</x:v>
      </x:c>
      <x:c r="K21" s="16" t="n">
        <x:v>170</x:v>
      </x:c>
      <x:c r="L21" s="15" t="n">
        <x:v>16</x:v>
      </x:c>
      <x:c r="M21" s="15" t="n">
        <x:v>10</x:v>
      </x:c>
      <x:c r="N21" s="2" t="n">
        <x:f>MAX(F21,ROUND(G21*(1+$B$5),0))</x:f>
        <x:v>32</x:v>
      </x:c>
      <x:c r="O21" s="2" t="n">
        <x:f>D21-$B$3</x:f>
        <x:v>70</x:v>
      </x:c>
      <x:c r="P21" s="6" t="n">
        <x:f>F21/E21</x:f>
        <x:v>0.5</x:v>
      </x:c>
      <x:c r="Q21" s="14" t="n">
        <x:f>(E21-F21)*I21</x:f>
        <x:v>22720</x:v>
      </x:c>
      <x:c r="R21" s="2" t="n">
        <x:f>IF(O21&lt;0,0,MAX(0,MIN(L21,E21-MAX(F21,M21,N21+$B$4))))</x:f>
        <x:v>0</x:v>
      </x:c>
      <x:c r="S21" s="2" t="n">
        <x:f>E21-R21</x:f>
        <x:v>32</x:v>
      </x:c>
      <x:c r="T21" s="2" t="n">
        <x:f>MIN(N21,S21)</x:f>
        <x:v>32</x:v>
      </x:c>
      <x:c r="U21" s="14" t="n">
        <x:f>T21*J21-S21*I21-R21*K21</x:f>
        <x:v>14400</x:v>
      </x:c>
      <x:c r="V21" s="14" t="n">
        <x:f>U21-(MIN(N21,E21)*J21-E21*I21)</x:f>
        <x:v>0</x:v>
      </x:c>
      <x:c r="W21" s="14" t="n">
        <x:f>H21*J21</x:f>
        <x:v>50490</x:v>
      </x:c>
      <x:c r="X21" s="14" t="n">
        <x:f>MIN(N21,E21)*J21</x:f>
        <x:v>59840</x:v>
      </x:c>
      <x:c r="Y21" s="14" t="n">
        <x:f>X21-W21</x:f>
        <x:v>9350</x:v>
      </x:c>
      <x:c r="Z21" s="2" t="n">
        <x:v>15</x:v>
      </x:c>
      <x:c r="AA21" s="13" t="n">
        <x:v>46419</x:v>
      </x:c>
    </x:row>
    <x:row r="22" ht="22" customHeight="1">
      <x:c r="A22" s="2" t="str">
        <x:v>TC-02006</x:v>
      </x:c>
      <x:c r="B22" s="2" t="str">
        <x:v>SYD-TYO</x:v>
      </x:c>
      <x:c r="C22" s="12" t="n">
        <x:v>46437</x:v>
      </x:c>
      <x:c r="D22" s="12" t="n">
        <x:v>46392</x:v>
      </x:c>
      <x:c r="E22" s="15" t="n">
        <x:v>36</x:v>
      </x:c>
      <x:c r="F22" s="17" t="n">
        <x:f>SUMIFS('Bookings'!$D$6:$D$753,'Bookings'!$B$6:$B$753,A22)</x:f>
        <x:v>16</x:v>
      </x:c>
      <x:c r="G22" s="15" t="n">
        <x:v>36</x:v>
      </x:c>
      <x:c r="H22" s="15" t="n">
        <x:v>31</x:v>
      </x:c>
      <x:c r="I22" s="16" t="n">
        <x:v>1420</x:v>
      </x:c>
      <x:c r="J22" s="16" t="n">
        <x:v>1870</x:v>
      </x:c>
      <x:c r="K22" s="16" t="n">
        <x:v>170</x:v>
      </x:c>
      <x:c r="L22" s="15" t="n">
        <x:v>18</x:v>
      </x:c>
      <x:c r="M22" s="15" t="n">
        <x:v>10</x:v>
      </x:c>
      <x:c r="N22" s="2" t="n">
        <x:f>MAX(F22,ROUND(G22*(1+$B$5),0))</x:f>
        <x:v>36</x:v>
      </x:c>
      <x:c r="O22" s="2" t="n">
        <x:f>D22-$B$3</x:f>
        <x:v>88</x:v>
      </x:c>
      <x:c r="P22" s="6" t="n">
        <x:f>F22/E22</x:f>
        <x:v>0.4444444444444444</x:v>
      </x:c>
      <x:c r="Q22" s="14" t="n">
        <x:f>(E22-F22)*I22</x:f>
        <x:v>28400</x:v>
      </x:c>
      <x:c r="R22" s="2" t="n">
        <x:f>IF(O22&lt;0,0,MAX(0,MIN(L22,E22-MAX(F22,M22,N22+$B$4))))</x:f>
        <x:v>0</x:v>
      </x:c>
      <x:c r="S22" s="2" t="n">
        <x:f>E22-R22</x:f>
        <x:v>36</x:v>
      </x:c>
      <x:c r="T22" s="2" t="n">
        <x:f>MIN(N22,S22)</x:f>
        <x:v>36</x:v>
      </x:c>
      <x:c r="U22" s="14" t="n">
        <x:f>T22*J22-S22*I22-R22*K22</x:f>
        <x:v>16200</x:v>
      </x:c>
      <x:c r="V22" s="14" t="n">
        <x:f>U22-(MIN(N22,E22)*J22-E22*I22)</x:f>
        <x:v>0</x:v>
      </x:c>
      <x:c r="W22" s="14" t="n">
        <x:f>H22*J22</x:f>
        <x:v>57970</x:v>
      </x:c>
      <x:c r="X22" s="14" t="n">
        <x:f>MIN(N22,E22)*J22</x:f>
        <x:v>67320</x:v>
      </x:c>
      <x:c r="Y22" s="14" t="n">
        <x:f>X22-W22</x:f>
        <x:v>9350</x:v>
      </x:c>
      <x:c r="Z22" s="2" t="n">
        <x:v>14</x:v>
      </x:c>
      <x:c r="AA22" s="13" t="n">
        <x:v>46419</x:v>
      </x:c>
    </x:row>
    <x:row r="23" ht="22" customHeight="1">
      <x:c r="A23" s="2" t="str">
        <x:v>TC-02007</x:v>
      </x:c>
      <x:c r="B23" s="2" t="str">
        <x:v>SYD-TYO</x:v>
      </x:c>
      <x:c r="C23" s="12" t="n">
        <x:v>46455</x:v>
      </x:c>
      <x:c r="D23" s="12" t="n">
        <x:v>46410</x:v>
      </x:c>
      <x:c r="E23" s="15" t="n">
        <x:v>40</x:v>
      </x:c>
      <x:c r="F23" s="17" t="n">
        <x:f>SUMIFS('Bookings'!$D$6:$D$753,'Bookings'!$B$6:$B$753,A23)</x:f>
        <x:v>14</x:v>
      </x:c>
      <x:c r="G23" s="15" t="n">
        <x:v>38</x:v>
      </x:c>
      <x:c r="H23" s="15" t="n">
        <x:v>34</x:v>
      </x:c>
      <x:c r="I23" s="16" t="n">
        <x:v>1420</x:v>
      </x:c>
      <x:c r="J23" s="16" t="n">
        <x:v>1870</x:v>
      </x:c>
      <x:c r="K23" s="16" t="n">
        <x:v>170</x:v>
      </x:c>
      <x:c r="L23" s="15" t="n">
        <x:v>20</x:v>
      </x:c>
      <x:c r="M23" s="15" t="n">
        <x:v>10</x:v>
      </x:c>
      <x:c r="N23" s="2" t="n">
        <x:f>MAX(F23,ROUND(G23*(1+$B$5),0))</x:f>
        <x:v>38</x:v>
      </x:c>
      <x:c r="O23" s="2" t="n">
        <x:f>D23-$B$3</x:f>
        <x:v>106</x:v>
      </x:c>
      <x:c r="P23" s="6" t="n">
        <x:f>F23/E23</x:f>
        <x:v>0.35</x:v>
      </x:c>
      <x:c r="Q23" s="14" t="n">
        <x:f>(E23-F23)*I23</x:f>
        <x:v>36920</x:v>
      </x:c>
      <x:c r="R23" s="2" t="n">
        <x:f>IF(O23&lt;0,0,MAX(0,MIN(L23,E23-MAX(F23,M23,N23+$B$4))))</x:f>
        <x:v>0</x:v>
      </x:c>
      <x:c r="S23" s="2" t="n">
        <x:f>E23-R23</x:f>
        <x:v>40</x:v>
      </x:c>
      <x:c r="T23" s="2" t="n">
        <x:f>MIN(N23,S23)</x:f>
        <x:v>38</x:v>
      </x:c>
      <x:c r="U23" s="14" t="n">
        <x:f>T23*J23-S23*I23-R23*K23</x:f>
        <x:v>14260</x:v>
      </x:c>
      <x:c r="V23" s="14" t="n">
        <x:f>U23-(MIN(N23,E23)*J23-E23*I23)</x:f>
        <x:v>0</x:v>
      </x:c>
      <x:c r="W23" s="14" t="n">
        <x:f>H23*J23</x:f>
        <x:v>63580</x:v>
      </x:c>
      <x:c r="X23" s="14" t="n">
        <x:f>MIN(N23,E23)*J23</x:f>
        <x:v>71060</x:v>
      </x:c>
      <x:c r="Y23" s="14" t="n">
        <x:f>X23-W23</x:f>
        <x:v>7480</x:v>
      </x:c>
      <x:c r="Z23" s="2" t="n">
        <x:v>14</x:v>
      </x:c>
      <x:c r="AA23" s="13" t="n">
        <x:v>46447</x:v>
      </x:c>
    </x:row>
    <x:row r="24" ht="22" customHeight="1">
      <x:c r="A24" s="2" t="str">
        <x:v>TC-02008</x:v>
      </x:c>
      <x:c r="B24" s="2" t="str">
        <x:v>SYD-TYO</x:v>
      </x:c>
      <x:c r="C24" s="12" t="n">
        <x:v>46473</x:v>
      </x:c>
      <x:c r="D24" s="12" t="n">
        <x:v>46428</x:v>
      </x:c>
      <x:c r="E24" s="15" t="n">
        <x:v>28</x:v>
      </x:c>
      <x:c r="F24" s="17" t="n">
        <x:f>SUMIFS('Bookings'!$D$6:$D$753,'Bookings'!$B$6:$B$753,A24)</x:f>
        <x:v>9</x:v>
      </x:c>
      <x:c r="G24" s="15" t="n">
        <x:v>28</x:v>
      </x:c>
      <x:c r="H24" s="15" t="n">
        <x:v>24</x:v>
      </x:c>
      <x:c r="I24" s="16" t="n">
        <x:v>1420</x:v>
      </x:c>
      <x:c r="J24" s="16" t="n">
        <x:v>1870</x:v>
      </x:c>
      <x:c r="K24" s="16" t="n">
        <x:v>170</x:v>
      </x:c>
      <x:c r="L24" s="15" t="n">
        <x:v>14</x:v>
      </x:c>
      <x:c r="M24" s="15" t="n">
        <x:v>10</x:v>
      </x:c>
      <x:c r="N24" s="2" t="n">
        <x:f>MAX(F24,ROUND(G24*(1+$B$5),0))</x:f>
        <x:v>28</x:v>
      </x:c>
      <x:c r="O24" s="2" t="n">
        <x:f>D24-$B$3</x:f>
        <x:v>124</x:v>
      </x:c>
      <x:c r="P24" s="6" t="n">
        <x:f>F24/E24</x:f>
        <x:v>0.32142857142857145</x:v>
      </x:c>
      <x:c r="Q24" s="14" t="n">
        <x:f>(E24-F24)*I24</x:f>
        <x:v>26980</x:v>
      </x:c>
      <x:c r="R24" s="2" t="n">
        <x:f>IF(O24&lt;0,0,MAX(0,MIN(L24,E24-MAX(F24,M24,N24+$B$4))))</x:f>
        <x:v>0</x:v>
      </x:c>
      <x:c r="S24" s="2" t="n">
        <x:f>E24-R24</x:f>
        <x:v>28</x:v>
      </x:c>
      <x:c r="T24" s="2" t="n">
        <x:f>MIN(N24,S24)</x:f>
        <x:v>28</x:v>
      </x:c>
      <x:c r="U24" s="14" t="n">
        <x:f>T24*J24-S24*I24-R24*K24</x:f>
        <x:v>12600</x:v>
      </x:c>
      <x:c r="V24" s="14" t="n">
        <x:f>U24-(MIN(N24,E24)*J24-E24*I24)</x:f>
        <x:v>0</x:v>
      </x:c>
      <x:c r="W24" s="14" t="n">
        <x:f>H24*J24</x:f>
        <x:v>44880</x:v>
      </x:c>
      <x:c r="X24" s="14" t="n">
        <x:f>MIN(N24,E24)*J24</x:f>
        <x:v>52360</x:v>
      </x:c>
      <x:c r="Y24" s="14" t="n">
        <x:f>X24-W24</x:f>
        <x:v>7480</x:v>
      </x:c>
      <x:c r="Z24" s="2" t="n">
        <x:v>9</x:v>
      </x:c>
      <x:c r="AA24" s="13" t="n">
        <x:v>46447</x:v>
      </x:c>
    </x:row>
    <x:row r="25" ht="22" customHeight="1">
      <x:c r="A25" s="2" t="str">
        <x:v>TC-03001</x:v>
      </x:c>
      <x:c r="B25" s="2" t="str">
        <x:v>BNE-TYO</x:v>
      </x:c>
      <x:c r="C25" s="12" t="n">
        <x:v>46350</x:v>
      </x:c>
      <x:c r="D25" s="12" t="n">
        <x:v>46305</x:v>
      </x:c>
      <x:c r="E25" s="15" t="n">
        <x:v>36</x:v>
      </x:c>
      <x:c r="F25" s="17" t="n">
        <x:f>SUMIFS('Bookings'!$D$6:$D$753,'Bookings'!$B$6:$B$753,A25)</x:f>
        <x:v>17</x:v>
      </x:c>
      <x:c r="G25" s="15" t="n">
        <x:v>20</x:v>
      </x:c>
      <x:c r="H25" s="15" t="n">
        <x:v>31</x:v>
      </x:c>
      <x:c r="I25" s="16" t="n">
        <x:v>1490</x:v>
      </x:c>
      <x:c r="J25" s="16" t="n">
        <x:v>1990</x:v>
      </x:c>
      <x:c r="K25" s="16" t="n">
        <x:v>179</x:v>
      </x:c>
      <x:c r="L25" s="15" t="n">
        <x:v>18</x:v>
      </x:c>
      <x:c r="M25" s="15" t="n">
        <x:v>10</x:v>
      </x:c>
      <x:c r="N25" s="2" t="n">
        <x:f>MAX(F25,ROUND(G25*(1+$B$5),0))</x:f>
        <x:v>20</x:v>
      </x:c>
      <x:c r="O25" s="2" t="n">
        <x:f>D25-$B$3</x:f>
        <x:v>1</x:v>
      </x:c>
      <x:c r="P25" s="6" t="n">
        <x:f>F25/E25</x:f>
        <x:v>0.4722222222222222</x:v>
      </x:c>
      <x:c r="Q25" s="14" t="n">
        <x:f>(E25-F25)*I25</x:f>
        <x:v>28310</x:v>
      </x:c>
      <x:c r="R25" s="2" t="n">
        <x:f>IF(O25&lt;0,0,MAX(0,MIN(L25,E25-MAX(F25,M25,N25+$B$4))))</x:f>
        <x:v>14</x:v>
      </x:c>
      <x:c r="S25" s="2" t="n">
        <x:f>E25-R25</x:f>
        <x:v>22</x:v>
      </x:c>
      <x:c r="T25" s="2" t="n">
        <x:f>MIN(N25,S25)</x:f>
        <x:v>20</x:v>
      </x:c>
      <x:c r="U25" s="14" t="n">
        <x:f>T25*J25-S25*I25-R25*K25</x:f>
        <x:v>4514</x:v>
      </x:c>
      <x:c r="V25" s="14" t="n">
        <x:f>U25-(MIN(N25,E25)*J25-E25*I25)</x:f>
        <x:v>18354</x:v>
      </x:c>
      <x:c r="W25" s="14" t="n">
        <x:f>H25*J25</x:f>
        <x:v>61690</x:v>
      </x:c>
      <x:c r="X25" s="14" t="n">
        <x:f>MIN(N25,E25)*J25</x:f>
        <x:v>39800</x:v>
      </x:c>
      <x:c r="Y25" s="14" t="n">
        <x:f>X25-W25</x:f>
        <x:v>-21890</x:v>
      </x:c>
      <x:c r="Z25" s="2" t="n">
        <x:v>17</x:v>
      </x:c>
      <x:c r="AA25" s="13" t="n">
        <x:v>46327</x:v>
      </x:c>
    </x:row>
    <x:row r="26" ht="22" customHeight="1">
      <x:c r="A26" s="2" t="str">
        <x:v>TC-03002</x:v>
      </x:c>
      <x:c r="B26" s="2" t="str">
        <x:v>BNE-TYO</x:v>
      </x:c>
      <x:c r="C26" s="12" t="n">
        <x:v>46368</x:v>
      </x:c>
      <x:c r="D26" s="12" t="n">
        <x:v>46323</x:v>
      </x:c>
      <x:c r="E26" s="15" t="n">
        <x:v>40</x:v>
      </x:c>
      <x:c r="F26" s="17" t="n">
        <x:f>SUMIFS('Bookings'!$D$6:$D$753,'Bookings'!$B$6:$B$753,A26)</x:f>
        <x:v>20</x:v>
      </x:c>
      <x:c r="G26" s="15" t="n">
        <x:v>26</x:v>
      </x:c>
      <x:c r="H26" s="15" t="n">
        <x:v>34</x:v>
      </x:c>
      <x:c r="I26" s="16" t="n">
        <x:v>1490</x:v>
      </x:c>
      <x:c r="J26" s="16" t="n">
        <x:v>1990</x:v>
      </x:c>
      <x:c r="K26" s="16" t="n">
        <x:v>179</x:v>
      </x:c>
      <x:c r="L26" s="15" t="n">
        <x:v>20</x:v>
      </x:c>
      <x:c r="M26" s="15" t="n">
        <x:v>10</x:v>
      </x:c>
      <x:c r="N26" s="2" t="n">
        <x:f>MAX(F26,ROUND(G26*(1+$B$5),0))</x:f>
        <x:v>26</x:v>
      </x:c>
      <x:c r="O26" s="2" t="n">
        <x:f>D26-$B$3</x:f>
        <x:v>19</x:v>
      </x:c>
      <x:c r="P26" s="6" t="n">
        <x:f>F26/E26</x:f>
        <x:v>0.5</x:v>
      </x:c>
      <x:c r="Q26" s="14" t="n">
        <x:f>(E26-F26)*I26</x:f>
        <x:v>29800</x:v>
      </x:c>
      <x:c r="R26" s="2" t="n">
        <x:f>IF(O26&lt;0,0,MAX(0,MIN(L26,E26-MAX(F26,M26,N26+$B$4))))</x:f>
        <x:v>12</x:v>
      </x:c>
      <x:c r="S26" s="2" t="n">
        <x:f>E26-R26</x:f>
        <x:v>28</x:v>
      </x:c>
      <x:c r="T26" s="2" t="n">
        <x:f>MIN(N26,S26)</x:f>
        <x:v>26</x:v>
      </x:c>
      <x:c r="U26" s="14" t="n">
        <x:f>T26*J26-S26*I26-R26*K26</x:f>
        <x:v>7872</x:v>
      </x:c>
      <x:c r="V26" s="14" t="n">
        <x:f>U26-(MIN(N26,E26)*J26-E26*I26)</x:f>
        <x:v>15732</x:v>
      </x:c>
      <x:c r="W26" s="14" t="n">
        <x:f>H26*J26</x:f>
        <x:v>67660</x:v>
      </x:c>
      <x:c r="X26" s="14" t="n">
        <x:f>MIN(N26,E26)*J26</x:f>
        <x:v>51740</x:v>
      </x:c>
      <x:c r="Y26" s="14" t="n">
        <x:f>X26-W26</x:f>
        <x:v>-15920</x:v>
      </x:c>
      <x:c r="Z26" s="2" t="n">
        <x:v>20</x:v>
      </x:c>
      <x:c r="AA26" s="13" t="n">
        <x:v>46357</x:v>
      </x:c>
    </x:row>
    <x:row r="27" ht="22" customHeight="1">
      <x:c r="A27" s="2" t="str">
        <x:v>TC-03003</x:v>
      </x:c>
      <x:c r="B27" s="2" t="str">
        <x:v>BNE-TYO</x:v>
      </x:c>
      <x:c r="C27" s="12" t="n">
        <x:v>46386</x:v>
      </x:c>
      <x:c r="D27" s="12" t="n">
        <x:v>46341</x:v>
      </x:c>
      <x:c r="E27" s="15" t="n">
        <x:v>28</x:v>
      </x:c>
      <x:c r="F27" s="17" t="n">
        <x:f>SUMIFS('Bookings'!$D$6:$D$753,'Bookings'!$B$6:$B$753,A27)</x:f>
        <x:v>11</x:v>
      </x:c>
      <x:c r="G27" s="15" t="n">
        <x:v>16</x:v>
      </x:c>
      <x:c r="H27" s="15" t="n">
        <x:v>24</x:v>
      </x:c>
      <x:c r="I27" s="16" t="n">
        <x:v>1490</x:v>
      </x:c>
      <x:c r="J27" s="16" t="n">
        <x:v>1990</x:v>
      </x:c>
      <x:c r="K27" s="16" t="n">
        <x:v>179</x:v>
      </x:c>
      <x:c r="L27" s="15" t="n">
        <x:v>14</x:v>
      </x:c>
      <x:c r="M27" s="15" t="n">
        <x:v>10</x:v>
      </x:c>
      <x:c r="N27" s="2" t="n">
        <x:f>MAX(F27,ROUND(G27*(1+$B$5),0))</x:f>
        <x:v>16</x:v>
      </x:c>
      <x:c r="O27" s="2" t="n">
        <x:f>D27-$B$3</x:f>
        <x:v>37</x:v>
      </x:c>
      <x:c r="P27" s="6" t="n">
        <x:f>F27/E27</x:f>
        <x:v>0.39285714285714285</x:v>
      </x:c>
      <x:c r="Q27" s="14" t="n">
        <x:f>(E27-F27)*I27</x:f>
        <x:v>25330</x:v>
      </x:c>
      <x:c r="R27" s="2" t="n">
        <x:f>IF(O27&lt;0,0,MAX(0,MIN(L27,E27-MAX(F27,M27,N27+$B$4))))</x:f>
        <x:v>10</x:v>
      </x:c>
      <x:c r="S27" s="2" t="n">
        <x:f>E27-R27</x:f>
        <x:v>18</x:v>
      </x:c>
      <x:c r="T27" s="2" t="n">
        <x:f>MIN(N27,S27)</x:f>
        <x:v>16</x:v>
      </x:c>
      <x:c r="U27" s="14" t="n">
        <x:f>T27*J27-S27*I27-R27*K27</x:f>
        <x:v>3230</x:v>
      </x:c>
      <x:c r="V27" s="14" t="n">
        <x:f>U27-(MIN(N27,E27)*J27-E27*I27)</x:f>
        <x:v>13110</x:v>
      </x:c>
      <x:c r="W27" s="14" t="n">
        <x:f>H27*J27</x:f>
        <x:v>47760</x:v>
      </x:c>
      <x:c r="X27" s="14" t="n">
        <x:f>MIN(N27,E27)*J27</x:f>
        <x:v>31840</x:v>
      </x:c>
      <x:c r="Y27" s="14" t="n">
        <x:f>X27-W27</x:f>
        <x:v>-15920</x:v>
      </x:c>
      <x:c r="Z27" s="2" t="n">
        <x:v>10</x:v>
      </x:c>
      <x:c r="AA27" s="13" t="n">
        <x:v>46357</x:v>
      </x:c>
    </x:row>
    <x:row r="28" ht="22" customHeight="1">
      <x:c r="A28" s="2" t="str">
        <x:v>TC-03004</x:v>
      </x:c>
      <x:c r="B28" s="2" t="str">
        <x:v>BNE-TYO</x:v>
      </x:c>
      <x:c r="C28" s="12" t="n">
        <x:v>46404</x:v>
      </x:c>
      <x:c r="D28" s="12" t="n">
        <x:v>46359</x:v>
      </x:c>
      <x:c r="E28" s="15" t="n">
        <x:v>32</x:v>
      </x:c>
      <x:c r="F28" s="17" t="n">
        <x:f>SUMIFS('Bookings'!$D$6:$D$753,'Bookings'!$B$6:$B$753,A28)</x:f>
        <x:v>11</x:v>
      </x:c>
      <x:c r="G28" s="15" t="n">
        <x:v>19</x:v>
      </x:c>
      <x:c r="H28" s="15" t="n">
        <x:v>27</x:v>
      </x:c>
      <x:c r="I28" s="16" t="n">
        <x:v>1490</x:v>
      </x:c>
      <x:c r="J28" s="16" t="n">
        <x:v>1990</x:v>
      </x:c>
      <x:c r="K28" s="16" t="n">
        <x:v>179</x:v>
      </x:c>
      <x:c r="L28" s="15" t="n">
        <x:v>16</x:v>
      </x:c>
      <x:c r="M28" s="15" t="n">
        <x:v>10</x:v>
      </x:c>
      <x:c r="N28" s="2" t="n">
        <x:f>MAX(F28,ROUND(G28*(1+$B$5),0))</x:f>
        <x:v>19</x:v>
      </x:c>
      <x:c r="O28" s="2" t="n">
        <x:f>D28-$B$3</x:f>
        <x:v>55</x:v>
      </x:c>
      <x:c r="P28" s="6" t="n">
        <x:f>F28/E28</x:f>
        <x:v>0.34375</x:v>
      </x:c>
      <x:c r="Q28" s="14" t="n">
        <x:f>(E28-F28)*I28</x:f>
        <x:v>31290</x:v>
      </x:c>
      <x:c r="R28" s="2" t="n">
        <x:f>IF(O28&lt;0,0,MAX(0,MIN(L28,E28-MAX(F28,M28,N28+$B$4))))</x:f>
        <x:v>11</x:v>
      </x:c>
      <x:c r="S28" s="2" t="n">
        <x:f>E28-R28</x:f>
        <x:v>21</x:v>
      </x:c>
      <x:c r="T28" s="2" t="n">
        <x:f>MIN(N28,S28)</x:f>
        <x:v>19</x:v>
      </x:c>
      <x:c r="U28" s="14" t="n">
        <x:f>T28*J28-S28*I28-R28*K28</x:f>
        <x:v>4551</x:v>
      </x:c>
      <x:c r="V28" s="14" t="n">
        <x:f>U28-(MIN(N28,E28)*J28-E28*I28)</x:f>
        <x:v>14421</x:v>
      </x:c>
      <x:c r="W28" s="14" t="n">
        <x:f>H28*J28</x:f>
        <x:v>53730</x:v>
      </x:c>
      <x:c r="X28" s="14" t="n">
        <x:f>MIN(N28,E28)*J28</x:f>
        <x:v>37810</x:v>
      </x:c>
      <x:c r="Y28" s="14" t="n">
        <x:f>X28-W28</x:f>
        <x:v>-15920</x:v>
      </x:c>
      <x:c r="Z28" s="2" t="n">
        <x:v>11</x:v>
      </x:c>
      <x:c r="AA28" s="13" t="n">
        <x:v>46388</x:v>
      </x:c>
    </x:row>
    <x:row r="29" ht="22" customHeight="1">
      <x:c r="A29" s="2" t="str">
        <x:v>TC-03005</x:v>
      </x:c>
      <x:c r="B29" s="2" t="str">
        <x:v>BNE-TYO</x:v>
      </x:c>
      <x:c r="C29" s="12" t="n">
        <x:v>46422</x:v>
      </x:c>
      <x:c r="D29" s="12" t="n">
        <x:v>46377</x:v>
      </x:c>
      <x:c r="E29" s="15" t="n">
        <x:v>36</x:v>
      </x:c>
      <x:c r="F29" s="17" t="n">
        <x:f>SUMIFS('Bookings'!$D$6:$D$753,'Bookings'!$B$6:$B$753,A29)</x:f>
        <x:v>11</x:v>
      </x:c>
      <x:c r="G29" s="15" t="n">
        <x:v>22</x:v>
      </x:c>
      <x:c r="H29" s="15" t="n">
        <x:v>31</x:v>
      </x:c>
      <x:c r="I29" s="16" t="n">
        <x:v>1490</x:v>
      </x:c>
      <x:c r="J29" s="16" t="n">
        <x:v>1990</x:v>
      </x:c>
      <x:c r="K29" s="16" t="n">
        <x:v>179</x:v>
      </x:c>
      <x:c r="L29" s="15" t="n">
        <x:v>18</x:v>
      </x:c>
      <x:c r="M29" s="15" t="n">
        <x:v>10</x:v>
      </x:c>
      <x:c r="N29" s="2" t="n">
        <x:f>MAX(F29,ROUND(G29*(1+$B$5),0))</x:f>
        <x:v>22</x:v>
      </x:c>
      <x:c r="O29" s="2" t="n">
        <x:f>D29-$B$3</x:f>
        <x:v>73</x:v>
      </x:c>
      <x:c r="P29" s="6" t="n">
        <x:f>F29/E29</x:f>
        <x:v>0.3055555555555556</x:v>
      </x:c>
      <x:c r="Q29" s="14" t="n">
        <x:f>(E29-F29)*I29</x:f>
        <x:v>37250</x:v>
      </x:c>
      <x:c r="R29" s="2" t="n">
        <x:f>IF(O29&lt;0,0,MAX(0,MIN(L29,E29-MAX(F29,M29,N29+$B$4))))</x:f>
        <x:v>12</x:v>
      </x:c>
      <x:c r="S29" s="2" t="n">
        <x:f>E29-R29</x:f>
        <x:v>24</x:v>
      </x:c>
      <x:c r="T29" s="2" t="n">
        <x:f>MIN(N29,S29)</x:f>
        <x:v>22</x:v>
      </x:c>
      <x:c r="U29" s="14" t="n">
        <x:f>T29*J29-S29*I29-R29*K29</x:f>
        <x:v>5872</x:v>
      </x:c>
      <x:c r="V29" s="14" t="n">
        <x:f>U29-(MIN(N29,E29)*J29-E29*I29)</x:f>
        <x:v>15732</x:v>
      </x:c>
      <x:c r="W29" s="14" t="n">
        <x:f>H29*J29</x:f>
        <x:v>61690</x:v>
      </x:c>
      <x:c r="X29" s="14" t="n">
        <x:f>MIN(N29,E29)*J29</x:f>
        <x:v>43780</x:v>
      </x:c>
      <x:c r="Y29" s="14" t="n">
        <x:f>X29-W29</x:f>
        <x:v>-17910</x:v>
      </x:c>
      <x:c r="Z29" s="2" t="n">
        <x:v>10</x:v>
      </x:c>
      <x:c r="AA29" s="13" t="n">
        <x:v>46419</x:v>
      </x:c>
    </x:row>
    <x:row r="30" ht="22" customHeight="1">
      <x:c r="A30" s="2" t="str">
        <x:v>TC-03006</x:v>
      </x:c>
      <x:c r="B30" s="2" t="str">
        <x:v>BNE-TYO</x:v>
      </x:c>
      <x:c r="C30" s="12" t="n">
        <x:v>46440</x:v>
      </x:c>
      <x:c r="D30" s="12" t="n">
        <x:v>46395</x:v>
      </x:c>
      <x:c r="E30" s="15" t="n">
        <x:v>40</x:v>
      </x:c>
      <x:c r="F30" s="17" t="n">
        <x:f>SUMIFS('Bookings'!$D$6:$D$753,'Bookings'!$B$6:$B$753,A30)</x:f>
        <x:v>10</x:v>
      </x:c>
      <x:c r="G30" s="15" t="n">
        <x:v>24</x:v>
      </x:c>
      <x:c r="H30" s="15" t="n">
        <x:v>34</x:v>
      </x:c>
      <x:c r="I30" s="16" t="n">
        <x:v>1490</x:v>
      </x:c>
      <x:c r="J30" s="16" t="n">
        <x:v>1990</x:v>
      </x:c>
      <x:c r="K30" s="16" t="n">
        <x:v>179</x:v>
      </x:c>
      <x:c r="L30" s="15" t="n">
        <x:v>20</x:v>
      </x:c>
      <x:c r="M30" s="15" t="n">
        <x:v>10</x:v>
      </x:c>
      <x:c r="N30" s="2" t="n">
        <x:f>MAX(F30,ROUND(G30*(1+$B$5),0))</x:f>
        <x:v>24</x:v>
      </x:c>
      <x:c r="O30" s="2" t="n">
        <x:f>D30-$B$3</x:f>
        <x:v>91</x:v>
      </x:c>
      <x:c r="P30" s="6" t="n">
        <x:f>F30/E30</x:f>
        <x:v>0.25</x:v>
      </x:c>
      <x:c r="Q30" s="14" t="n">
        <x:f>(E30-F30)*I30</x:f>
        <x:v>44700</x:v>
      </x:c>
      <x:c r="R30" s="2" t="n">
        <x:f>IF(O30&lt;0,0,MAX(0,MIN(L30,E30-MAX(F30,M30,N30+$B$4))))</x:f>
        <x:v>14</x:v>
      </x:c>
      <x:c r="S30" s="2" t="n">
        <x:f>E30-R30</x:f>
        <x:v>26</x:v>
      </x:c>
      <x:c r="T30" s="2" t="n">
        <x:f>MIN(N30,S30)</x:f>
        <x:v>24</x:v>
      </x:c>
      <x:c r="U30" s="14" t="n">
        <x:f>T30*J30-S30*I30-R30*K30</x:f>
        <x:v>6514</x:v>
      </x:c>
      <x:c r="V30" s="14" t="n">
        <x:f>U30-(MIN(N30,E30)*J30-E30*I30)</x:f>
        <x:v>18354</x:v>
      </x:c>
      <x:c r="W30" s="14" t="n">
        <x:f>H30*J30</x:f>
        <x:v>67660</x:v>
      </x:c>
      <x:c r="X30" s="14" t="n">
        <x:f>MIN(N30,E30)*J30</x:f>
        <x:v>47760</x:v>
      </x:c>
      <x:c r="Y30" s="14" t="n">
        <x:f>X30-W30</x:f>
        <x:v>-19900</x:v>
      </x:c>
      <x:c r="Z30" s="2" t="n">
        <x:v>8</x:v>
      </x:c>
      <x:c r="AA30" s="13" t="n">
        <x:v>46419</x:v>
      </x:c>
    </x:row>
    <x:row r="31" ht="22" customHeight="1">
      <x:c r="A31" s="2" t="str">
        <x:v>TC-03007</x:v>
      </x:c>
      <x:c r="B31" s="2" t="str">
        <x:v>BNE-TYO</x:v>
      </x:c>
      <x:c r="C31" s="12" t="n">
        <x:v>46458</x:v>
      </x:c>
      <x:c r="D31" s="12" t="n">
        <x:v>46413</x:v>
      </x:c>
      <x:c r="E31" s="15" t="n">
        <x:v>28</x:v>
      </x:c>
      <x:c r="F31" s="17" t="n">
        <x:f>SUMIFS('Bookings'!$D$6:$D$753,'Bookings'!$B$6:$B$753,A31)</x:f>
        <x:v>6</x:v>
      </x:c>
      <x:c r="G31" s="15" t="n">
        <x:v>17</x:v>
      </x:c>
      <x:c r="H31" s="15" t="n">
        <x:v>24</x:v>
      </x:c>
      <x:c r="I31" s="16" t="n">
        <x:v>1490</x:v>
      </x:c>
      <x:c r="J31" s="16" t="n">
        <x:v>1990</x:v>
      </x:c>
      <x:c r="K31" s="16" t="n">
        <x:v>179</x:v>
      </x:c>
      <x:c r="L31" s="15" t="n">
        <x:v>14</x:v>
      </x:c>
      <x:c r="M31" s="15" t="n">
        <x:v>10</x:v>
      </x:c>
      <x:c r="N31" s="2" t="n">
        <x:f>MAX(F31,ROUND(G31*(1+$B$5),0))</x:f>
        <x:v>17</x:v>
      </x:c>
      <x:c r="O31" s="2" t="n">
        <x:f>D31-$B$3</x:f>
        <x:v>109</x:v>
      </x:c>
      <x:c r="P31" s="6" t="n">
        <x:f>F31/E31</x:f>
        <x:v>0.21428571428571427</x:v>
      </x:c>
      <x:c r="Q31" s="14" t="n">
        <x:f>(E31-F31)*I31</x:f>
        <x:v>32780</x:v>
      </x:c>
      <x:c r="R31" s="2" t="n">
        <x:f>IF(O31&lt;0,0,MAX(0,MIN(L31,E31-MAX(F31,M31,N31+$B$4))))</x:f>
        <x:v>9</x:v>
      </x:c>
      <x:c r="S31" s="2" t="n">
        <x:f>E31-R31</x:f>
        <x:v>19</x:v>
      </x:c>
      <x:c r="T31" s="2" t="n">
        <x:f>MIN(N31,S31)</x:f>
        <x:v>17</x:v>
      </x:c>
      <x:c r="U31" s="14" t="n">
        <x:f>T31*J31-S31*I31-R31*K31</x:f>
        <x:v>3909</x:v>
      </x:c>
      <x:c r="V31" s="14" t="n">
        <x:f>U31-(MIN(N31,E31)*J31-E31*I31)</x:f>
        <x:v>11799</x:v>
      </x:c>
      <x:c r="W31" s="14" t="n">
        <x:f>H31*J31</x:f>
        <x:v>47760</x:v>
      </x:c>
      <x:c r="X31" s="14" t="n">
        <x:f>MIN(N31,E31)*J31</x:f>
        <x:v>33830</x:v>
      </x:c>
      <x:c r="Y31" s="14" t="n">
        <x:f>X31-W31</x:f>
        <x:v>-13930</x:v>
      </x:c>
      <x:c r="Z31" s="2" t="n">
        <x:v>5</x:v>
      </x:c>
      <x:c r="AA31" s="13" t="n">
        <x:v>46447</x:v>
      </x:c>
    </x:row>
    <x:row r="32" ht="22" customHeight="1">
      <x:c r="A32" s="2" t="str">
        <x:v>TC-03008</x:v>
      </x:c>
      <x:c r="B32" s="2" t="str">
        <x:v>BNE-TYO</x:v>
      </x:c>
      <x:c r="C32" s="12" t="n">
        <x:v>46476</x:v>
      </x:c>
      <x:c r="D32" s="12" t="n">
        <x:v>46431</x:v>
      </x:c>
      <x:c r="E32" s="15" t="n">
        <x:v>32</x:v>
      </x:c>
      <x:c r="F32" s="17" t="n">
        <x:f>SUMIFS('Bookings'!$D$6:$D$753,'Bookings'!$B$6:$B$753,A32)</x:f>
        <x:v>5</x:v>
      </x:c>
      <x:c r="G32" s="15" t="n">
        <x:v>17</x:v>
      </x:c>
      <x:c r="H32" s="15" t="n">
        <x:v>27</x:v>
      </x:c>
      <x:c r="I32" s="16" t="n">
        <x:v>1490</x:v>
      </x:c>
      <x:c r="J32" s="16" t="n">
        <x:v>1990</x:v>
      </x:c>
      <x:c r="K32" s="16" t="n">
        <x:v>179</x:v>
      </x:c>
      <x:c r="L32" s="15" t="n">
        <x:v>16</x:v>
      </x:c>
      <x:c r="M32" s="15" t="n">
        <x:v>10</x:v>
      </x:c>
      <x:c r="N32" s="2" t="n">
        <x:f>MAX(F32,ROUND(G32*(1+$B$5),0))</x:f>
        <x:v>17</x:v>
      </x:c>
      <x:c r="O32" s="2" t="n">
        <x:f>D32-$B$3</x:f>
        <x:v>127</x:v>
      </x:c>
      <x:c r="P32" s="6" t="n">
        <x:f>F32/E32</x:f>
        <x:v>0.15625</x:v>
      </x:c>
      <x:c r="Q32" s="14" t="n">
        <x:f>(E32-F32)*I32</x:f>
        <x:v>40230</x:v>
      </x:c>
      <x:c r="R32" s="2" t="n">
        <x:f>IF(O32&lt;0,0,MAX(0,MIN(L32,E32-MAX(F32,M32,N32+$B$4))))</x:f>
        <x:v>13</x:v>
      </x:c>
      <x:c r="S32" s="2" t="n">
        <x:f>E32-R32</x:f>
        <x:v>19</x:v>
      </x:c>
      <x:c r="T32" s="2" t="n">
        <x:f>MIN(N32,S32)</x:f>
        <x:v>17</x:v>
      </x:c>
      <x:c r="U32" s="14" t="n">
        <x:f>T32*J32-S32*I32-R32*K32</x:f>
        <x:v>3193</x:v>
      </x:c>
      <x:c r="V32" s="14" t="n">
        <x:f>U32-(MIN(N32,E32)*J32-E32*I32)</x:f>
        <x:v>17043</x:v>
      </x:c>
      <x:c r="W32" s="14" t="n">
        <x:f>H32*J32</x:f>
        <x:v>53730</x:v>
      </x:c>
      <x:c r="X32" s="14" t="n">
        <x:f>MIN(N32,E32)*J32</x:f>
        <x:v>33830</x:v>
      </x:c>
      <x:c r="Y32" s="14" t="n">
        <x:f>X32-W32</x:f>
        <x:v>-19900</x:v>
      </x:c>
      <x:c r="Z32" s="2" t="n">
        <x:v>5</x:v>
      </x:c>
      <x:c r="AA32" s="13" t="n">
        <x:v>46447</x:v>
      </x:c>
    </x:row>
    <x:row r="33" ht="22" customHeight="1">
      <x:c r="A33" s="2" t="str">
        <x:v>TC-04001</x:v>
      </x:c>
      <x:c r="B33" s="2" t="str">
        <x:v>MEL-SGN</x:v>
      </x:c>
      <x:c r="C33" s="12" t="n">
        <x:v>46353</x:v>
      </x:c>
      <x:c r="D33" s="12" t="n">
        <x:v>46308</x:v>
      </x:c>
      <x:c r="E33" s="15" t="n">
        <x:v>40</x:v>
      </x:c>
      <x:c r="F33" s="17" t="n">
        <x:f>SUMIFS('Bookings'!$D$6:$D$753,'Bookings'!$B$6:$B$753,A33)</x:f>
        <x:v>24</x:v>
      </x:c>
      <x:c r="G33" s="15" t="n">
        <x:v>28</x:v>
      </x:c>
      <x:c r="H33" s="15" t="n">
        <x:v>34</x:v>
      </x:c>
      <x:c r="I33" s="16" t="n">
        <x:v>920</x:v>
      </x:c>
      <x:c r="J33" s="16" t="n">
        <x:v>1290</x:v>
      </x:c>
      <x:c r="K33" s="16" t="n">
        <x:v>110</x:v>
      </x:c>
      <x:c r="L33" s="15" t="n">
        <x:v>20</x:v>
      </x:c>
      <x:c r="M33" s="15" t="n">
        <x:v>10</x:v>
      </x:c>
      <x:c r="N33" s="2" t="n">
        <x:f>MAX(F33,ROUND(G33*(1+$B$5),0))</x:f>
        <x:v>28</x:v>
      </x:c>
      <x:c r="O33" s="2" t="n">
        <x:f>D33-$B$3</x:f>
        <x:v>4</x:v>
      </x:c>
      <x:c r="P33" s="6" t="n">
        <x:f>F33/E33</x:f>
        <x:v>0.6</x:v>
      </x:c>
      <x:c r="Q33" s="14" t="n">
        <x:f>(E33-F33)*I33</x:f>
        <x:v>14720</x:v>
      </x:c>
      <x:c r="R33" s="2" t="n">
        <x:f>IF(O33&lt;0,0,MAX(0,MIN(L33,E33-MAX(F33,M33,N33+$B$4))))</x:f>
        <x:v>10</x:v>
      </x:c>
      <x:c r="S33" s="2" t="n">
        <x:f>E33-R33</x:f>
        <x:v>30</x:v>
      </x:c>
      <x:c r="T33" s="2" t="n">
        <x:f>MIN(N33,S33)</x:f>
        <x:v>28</x:v>
      </x:c>
      <x:c r="U33" s="14" t="n">
        <x:f>T33*J33-S33*I33-R33*K33</x:f>
        <x:v>7420</x:v>
      </x:c>
      <x:c r="V33" s="14" t="n">
        <x:f>U33-(MIN(N33,E33)*J33-E33*I33)</x:f>
        <x:v>8100</x:v>
      </x:c>
      <x:c r="W33" s="14" t="n">
        <x:f>H33*J33</x:f>
        <x:v>43860</x:v>
      </x:c>
      <x:c r="X33" s="14" t="n">
        <x:f>MIN(N33,E33)*J33</x:f>
        <x:v>36120</x:v>
      </x:c>
      <x:c r="Y33" s="14" t="n">
        <x:f>X33-W33</x:f>
        <x:v>-7740</x:v>
      </x:c>
      <x:c r="Z33" s="2" t="n">
        <x:v>24</x:v>
      </x:c>
      <x:c r="AA33" s="13" t="n">
        <x:v>46327</x:v>
      </x:c>
    </x:row>
    <x:row r="34" ht="22" customHeight="1">
      <x:c r="A34" s="2" t="str">
        <x:v>TC-04002</x:v>
      </x:c>
      <x:c r="B34" s="2" t="str">
        <x:v>MEL-SGN</x:v>
      </x:c>
      <x:c r="C34" s="12" t="n">
        <x:v>46371</x:v>
      </x:c>
      <x:c r="D34" s="12" t="n">
        <x:v>46326</x:v>
      </x:c>
      <x:c r="E34" s="15" t="n">
        <x:v>28</x:v>
      </x:c>
      <x:c r="F34" s="17" t="n">
        <x:f>SUMIFS('Bookings'!$D$6:$D$753,'Bookings'!$B$6:$B$753,A34)</x:f>
        <x:v>16</x:v>
      </x:c>
      <x:c r="G34" s="15" t="n">
        <x:v>21</x:v>
      </x:c>
      <x:c r="H34" s="15" t="n">
        <x:v>24</x:v>
      </x:c>
      <x:c r="I34" s="16" t="n">
        <x:v>920</x:v>
      </x:c>
      <x:c r="J34" s="16" t="n">
        <x:v>1290</x:v>
      </x:c>
      <x:c r="K34" s="16" t="n">
        <x:v>110</x:v>
      </x:c>
      <x:c r="L34" s="15" t="n">
        <x:v>14</x:v>
      </x:c>
      <x:c r="M34" s="15" t="n">
        <x:v>10</x:v>
      </x:c>
      <x:c r="N34" s="2" t="n">
        <x:f>MAX(F34,ROUND(G34*(1+$B$5),0))</x:f>
        <x:v>21</x:v>
      </x:c>
      <x:c r="O34" s="2" t="n">
        <x:f>D34-$B$3</x:f>
        <x:v>22</x:v>
      </x:c>
      <x:c r="P34" s="6" t="n">
        <x:f>F34/E34</x:f>
        <x:v>0.5714285714285714</x:v>
      </x:c>
      <x:c r="Q34" s="14" t="n">
        <x:f>(E34-F34)*I34</x:f>
        <x:v>11040</x:v>
      </x:c>
      <x:c r="R34" s="2" t="n">
        <x:f>IF(O34&lt;0,0,MAX(0,MIN(L34,E34-MAX(F34,M34,N34+$B$4))))</x:f>
        <x:v>5</x:v>
      </x:c>
      <x:c r="S34" s="2" t="n">
        <x:f>E34-R34</x:f>
        <x:v>23</x:v>
      </x:c>
      <x:c r="T34" s="2" t="n">
        <x:f>MIN(N34,S34)</x:f>
        <x:v>21</x:v>
      </x:c>
      <x:c r="U34" s="14" t="n">
        <x:f>T34*J34-S34*I34-R34*K34</x:f>
        <x:v>5380</x:v>
      </x:c>
      <x:c r="V34" s="14" t="n">
        <x:f>U34-(MIN(N34,E34)*J34-E34*I34)</x:f>
        <x:v>4050</x:v>
      </x:c>
      <x:c r="W34" s="14" t="n">
        <x:f>H34*J34</x:f>
        <x:v>30960</x:v>
      </x:c>
      <x:c r="X34" s="14" t="n">
        <x:f>MIN(N34,E34)*J34</x:f>
        <x:v>27090</x:v>
      </x:c>
      <x:c r="Y34" s="14" t="n">
        <x:f>X34-W34</x:f>
        <x:v>-3870</x:v>
      </x:c>
      <x:c r="Z34" s="2" t="n">
        <x:v>16</x:v>
      </x:c>
      <x:c r="AA34" s="13" t="n">
        <x:v>46357</x:v>
      </x:c>
    </x:row>
    <x:row r="35" ht="22" customHeight="1">
      <x:c r="A35" s="2" t="str">
        <x:v>TC-04003</x:v>
      </x:c>
      <x:c r="B35" s="2" t="str">
        <x:v>MEL-SGN</x:v>
      </x:c>
      <x:c r="C35" s="12" t="n">
        <x:v>46389</x:v>
      </x:c>
      <x:c r="D35" s="12" t="n">
        <x:v>46344</x:v>
      </x:c>
      <x:c r="E35" s="15" t="n">
        <x:v>32</x:v>
      </x:c>
      <x:c r="F35" s="17" t="n">
        <x:f>SUMIFS('Bookings'!$D$6:$D$753,'Bookings'!$B$6:$B$753,A35)</x:f>
        <x:v>16</x:v>
      </x:c>
      <x:c r="G35" s="15" t="n">
        <x:v>24</x:v>
      </x:c>
      <x:c r="H35" s="15" t="n">
        <x:v>27</x:v>
      </x:c>
      <x:c r="I35" s="16" t="n">
        <x:v>920</x:v>
      </x:c>
      <x:c r="J35" s="16" t="n">
        <x:v>1290</x:v>
      </x:c>
      <x:c r="K35" s="16" t="n">
        <x:v>110</x:v>
      </x:c>
      <x:c r="L35" s="15" t="n">
        <x:v>16</x:v>
      </x:c>
      <x:c r="M35" s="15" t="n">
        <x:v>10</x:v>
      </x:c>
      <x:c r="N35" s="2" t="n">
        <x:f>MAX(F35,ROUND(G35*(1+$B$5),0))</x:f>
        <x:v>24</x:v>
      </x:c>
      <x:c r="O35" s="2" t="n">
        <x:f>D35-$B$3</x:f>
        <x:v>40</x:v>
      </x:c>
      <x:c r="P35" s="6" t="n">
        <x:f>F35/E35</x:f>
        <x:v>0.5</x:v>
      </x:c>
      <x:c r="Q35" s="14" t="n">
        <x:f>(E35-F35)*I35</x:f>
        <x:v>14720</x:v>
      </x:c>
      <x:c r="R35" s="2" t="n">
        <x:f>IF(O35&lt;0,0,MAX(0,MIN(L35,E35-MAX(F35,M35,N35+$B$4))))</x:f>
        <x:v>6</x:v>
      </x:c>
      <x:c r="S35" s="2" t="n">
        <x:f>E35-R35</x:f>
        <x:v>26</x:v>
      </x:c>
      <x:c r="T35" s="2" t="n">
        <x:f>MIN(N35,S35)</x:f>
        <x:v>24</x:v>
      </x:c>
      <x:c r="U35" s="14" t="n">
        <x:f>T35*J35-S35*I35-R35*K35</x:f>
        <x:v>6380</x:v>
      </x:c>
      <x:c r="V35" s="14" t="n">
        <x:f>U35-(MIN(N35,E35)*J35-E35*I35)</x:f>
        <x:v>4860</x:v>
      </x:c>
      <x:c r="W35" s="14" t="n">
        <x:f>H35*J35</x:f>
        <x:v>34830</x:v>
      </x:c>
      <x:c r="X35" s="14" t="n">
        <x:f>MIN(N35,E35)*J35</x:f>
        <x:v>30960</x:v>
      </x:c>
      <x:c r="Y35" s="14" t="n">
        <x:f>X35-W35</x:f>
        <x:v>-3870</x:v>
      </x:c>
      <x:c r="Z35" s="2" t="n">
        <x:v>15</x:v>
      </x:c>
      <x:c r="AA35" s="13" t="n">
        <x:v>46388</x:v>
      </x:c>
    </x:row>
    <x:row r="36" ht="22" customHeight="1">
      <x:c r="A36" s="2" t="str">
        <x:v>TC-04004</x:v>
      </x:c>
      <x:c r="B36" s="2" t="str">
        <x:v>MEL-SGN</x:v>
      </x:c>
      <x:c r="C36" s="12" t="n">
        <x:v>46407</x:v>
      </x:c>
      <x:c r="D36" s="12" t="n">
        <x:v>46362</x:v>
      </x:c>
      <x:c r="E36" s="15" t="n">
        <x:v>36</x:v>
      </x:c>
      <x:c r="F36" s="17" t="n">
        <x:f>SUMIFS('Bookings'!$D$6:$D$753,'Bookings'!$B$6:$B$753,A36)</x:f>
        <x:v>16</x:v>
      </x:c>
      <x:c r="G36" s="15" t="n">
        <x:v>28</x:v>
      </x:c>
      <x:c r="H36" s="15" t="n">
        <x:v>31</x:v>
      </x:c>
      <x:c r="I36" s="16" t="n">
        <x:v>920</x:v>
      </x:c>
      <x:c r="J36" s="16" t="n">
        <x:v>1290</x:v>
      </x:c>
      <x:c r="K36" s="16" t="n">
        <x:v>110</x:v>
      </x:c>
      <x:c r="L36" s="15" t="n">
        <x:v>18</x:v>
      </x:c>
      <x:c r="M36" s="15" t="n">
        <x:v>10</x:v>
      </x:c>
      <x:c r="N36" s="2" t="n">
        <x:f>MAX(F36,ROUND(G36*(1+$B$5),0))</x:f>
        <x:v>28</x:v>
      </x:c>
      <x:c r="O36" s="2" t="n">
        <x:f>D36-$B$3</x:f>
        <x:v>58</x:v>
      </x:c>
      <x:c r="P36" s="6" t="n">
        <x:f>F36/E36</x:f>
        <x:v>0.4444444444444444</x:v>
      </x:c>
      <x:c r="Q36" s="14" t="n">
        <x:f>(E36-F36)*I36</x:f>
        <x:v>18400</x:v>
      </x:c>
      <x:c r="R36" s="2" t="n">
        <x:f>IF(O36&lt;0,0,MAX(0,MIN(L36,E36-MAX(F36,M36,N36+$B$4))))</x:f>
        <x:v>6</x:v>
      </x:c>
      <x:c r="S36" s="2" t="n">
        <x:f>E36-R36</x:f>
        <x:v>30</x:v>
      </x:c>
      <x:c r="T36" s="2" t="n">
        <x:f>MIN(N36,S36)</x:f>
        <x:v>28</x:v>
      </x:c>
      <x:c r="U36" s="14" t="n">
        <x:f>T36*J36-S36*I36-R36*K36</x:f>
        <x:v>7860</x:v>
      </x:c>
      <x:c r="V36" s="14" t="n">
        <x:f>U36-(MIN(N36,E36)*J36-E36*I36)</x:f>
        <x:v>4860</x:v>
      </x:c>
      <x:c r="W36" s="14" t="n">
        <x:f>H36*J36</x:f>
        <x:v>39990</x:v>
      </x:c>
      <x:c r="X36" s="14" t="n">
        <x:f>MIN(N36,E36)*J36</x:f>
        <x:v>36120</x:v>
      </x:c>
      <x:c r="Y36" s="14" t="n">
        <x:f>X36-W36</x:f>
        <x:v>-3870</x:v>
      </x:c>
      <x:c r="Z36" s="2" t="n">
        <x:v>14</x:v>
      </x:c>
      <x:c r="AA36" s="13" t="n">
        <x:v>46388</x:v>
      </x:c>
    </x:row>
    <x:row r="37" ht="22" customHeight="1">
      <x:c r="A37" s="2" t="str">
        <x:v>TC-04005</x:v>
      </x:c>
      <x:c r="B37" s="2" t="str">
        <x:v>MEL-SGN</x:v>
      </x:c>
      <x:c r="C37" s="12" t="n">
        <x:v>46425</x:v>
      </x:c>
      <x:c r="D37" s="12" t="n">
        <x:v>46380</x:v>
      </x:c>
      <x:c r="E37" s="15" t="n">
        <x:v>40</x:v>
      </x:c>
      <x:c r="F37" s="17" t="n">
        <x:f>SUMIFS('Bookings'!$D$6:$D$753,'Bookings'!$B$6:$B$753,A37)</x:f>
        <x:v>13</x:v>
      </x:c>
      <x:c r="G37" s="15" t="n">
        <x:v>27</x:v>
      </x:c>
      <x:c r="H37" s="15" t="n">
        <x:v>34</x:v>
      </x:c>
      <x:c r="I37" s="16" t="n">
        <x:v>920</x:v>
      </x:c>
      <x:c r="J37" s="16" t="n">
        <x:v>1290</x:v>
      </x:c>
      <x:c r="K37" s="16" t="n">
        <x:v>110</x:v>
      </x:c>
      <x:c r="L37" s="15" t="n">
        <x:v>20</x:v>
      </x:c>
      <x:c r="M37" s="15" t="n">
        <x:v>10</x:v>
      </x:c>
      <x:c r="N37" s="2" t="n">
        <x:f>MAX(F37,ROUND(G37*(1+$B$5),0))</x:f>
        <x:v>27</x:v>
      </x:c>
      <x:c r="O37" s="2" t="n">
        <x:f>D37-$B$3</x:f>
        <x:v>76</x:v>
      </x:c>
      <x:c r="P37" s="6" t="n">
        <x:f>F37/E37</x:f>
        <x:v>0.325</x:v>
      </x:c>
      <x:c r="Q37" s="14" t="n">
        <x:f>(E37-F37)*I37</x:f>
        <x:v>24840</x:v>
      </x:c>
      <x:c r="R37" s="2" t="n">
        <x:f>IF(O37&lt;0,0,MAX(0,MIN(L37,E37-MAX(F37,M37,N37+$B$4))))</x:f>
        <x:v>11</x:v>
      </x:c>
      <x:c r="S37" s="2" t="n">
        <x:f>E37-R37</x:f>
        <x:v>29</x:v>
      </x:c>
      <x:c r="T37" s="2" t="n">
        <x:f>MIN(N37,S37)</x:f>
        <x:v>27</x:v>
      </x:c>
      <x:c r="U37" s="14" t="n">
        <x:f>T37*J37-S37*I37-R37*K37</x:f>
        <x:v>6940</x:v>
      </x:c>
      <x:c r="V37" s="14" t="n">
        <x:f>U37-(MIN(N37,E37)*J37-E37*I37)</x:f>
        <x:v>8910</x:v>
      </x:c>
      <x:c r="W37" s="14" t="n">
        <x:f>H37*J37</x:f>
        <x:v>43860</x:v>
      </x:c>
      <x:c r="X37" s="14" t="n">
        <x:f>MIN(N37,E37)*J37</x:f>
        <x:v>34830</x:v>
      </x:c>
      <x:c r="Y37" s="14" t="n">
        <x:f>X37-W37</x:f>
        <x:v>-9030</x:v>
      </x:c>
      <x:c r="Z37" s="2" t="n">
        <x:v>12</x:v>
      </x:c>
      <x:c r="AA37" s="13" t="n">
        <x:v>46419</x:v>
      </x:c>
    </x:row>
    <x:row r="38" ht="22" customHeight="1">
      <x:c r="A38" s="2" t="str">
        <x:v>TC-04006</x:v>
      </x:c>
      <x:c r="B38" s="2" t="str">
        <x:v>MEL-SGN</x:v>
      </x:c>
      <x:c r="C38" s="12" t="n">
        <x:v>46443</x:v>
      </x:c>
      <x:c r="D38" s="12" t="n">
        <x:v>46398</x:v>
      </x:c>
      <x:c r="E38" s="15" t="n">
        <x:v>28</x:v>
      </x:c>
      <x:c r="F38" s="17" t="n">
        <x:f>SUMIFS('Bookings'!$D$6:$D$753,'Bookings'!$B$6:$B$753,A38)</x:f>
        <x:v>8</x:v>
      </x:c>
      <x:c r="G38" s="15" t="n">
        <x:v>19</x:v>
      </x:c>
      <x:c r="H38" s="15" t="n">
        <x:v>24</x:v>
      </x:c>
      <x:c r="I38" s="16" t="n">
        <x:v>920</x:v>
      </x:c>
      <x:c r="J38" s="16" t="n">
        <x:v>1290</x:v>
      </x:c>
      <x:c r="K38" s="16" t="n">
        <x:v>110</x:v>
      </x:c>
      <x:c r="L38" s="15" t="n">
        <x:v>14</x:v>
      </x:c>
      <x:c r="M38" s="15" t="n">
        <x:v>10</x:v>
      </x:c>
      <x:c r="N38" s="2" t="n">
        <x:f>MAX(F38,ROUND(G38*(1+$B$5),0))</x:f>
        <x:v>19</x:v>
      </x:c>
      <x:c r="O38" s="2" t="n">
        <x:f>D38-$B$3</x:f>
        <x:v>94</x:v>
      </x:c>
      <x:c r="P38" s="6" t="n">
        <x:f>F38/E38</x:f>
        <x:v>0.2857142857142857</x:v>
      </x:c>
      <x:c r="Q38" s="14" t="n">
        <x:f>(E38-F38)*I38</x:f>
        <x:v>18400</x:v>
      </x:c>
      <x:c r="R38" s="2" t="n">
        <x:f>IF(O38&lt;0,0,MAX(0,MIN(L38,E38-MAX(F38,M38,N38+$B$4))))</x:f>
        <x:v>7</x:v>
      </x:c>
      <x:c r="S38" s="2" t="n">
        <x:f>E38-R38</x:f>
        <x:v>21</x:v>
      </x:c>
      <x:c r="T38" s="2" t="n">
        <x:f>MIN(N38,S38)</x:f>
        <x:v>19</x:v>
      </x:c>
      <x:c r="U38" s="14" t="n">
        <x:f>T38*J38-S38*I38-R38*K38</x:f>
        <x:v>4420</x:v>
      </x:c>
      <x:c r="V38" s="14" t="n">
        <x:f>U38-(MIN(N38,E38)*J38-E38*I38)</x:f>
        <x:v>5670</x:v>
      </x:c>
      <x:c r="W38" s="14" t="n">
        <x:f>H38*J38</x:f>
        <x:v>30960</x:v>
      </x:c>
      <x:c r="X38" s="14" t="n">
        <x:f>MIN(N38,E38)*J38</x:f>
        <x:v>24510</x:v>
      </x:c>
      <x:c r="Y38" s="14" t="n">
        <x:f>X38-W38</x:f>
        <x:v>-6450</x:v>
      </x:c>
      <x:c r="Z38" s="2" t="n">
        <x:v>8</x:v>
      </x:c>
      <x:c r="AA38" s="13" t="n">
        <x:v>46419</x:v>
      </x:c>
    </x:row>
    <x:row r="39" ht="22" customHeight="1">
      <x:c r="A39" s="2" t="str">
        <x:v>TC-04007</x:v>
      </x:c>
      <x:c r="B39" s="2" t="str">
        <x:v>MEL-SGN</x:v>
      </x:c>
      <x:c r="C39" s="12" t="n">
        <x:v>46461</x:v>
      </x:c>
      <x:c r="D39" s="12" t="n">
        <x:v>46416</x:v>
      </x:c>
      <x:c r="E39" s="15" t="n">
        <x:v>32</x:v>
      </x:c>
      <x:c r="F39" s="17" t="n">
        <x:f>SUMIFS('Bookings'!$D$6:$D$753,'Bookings'!$B$6:$B$753,A39)</x:f>
        <x:v>7</x:v>
      </x:c>
      <x:c r="G39" s="15" t="n">
        <x:v>20</x:v>
      </x:c>
      <x:c r="H39" s="15" t="n">
        <x:v>27</x:v>
      </x:c>
      <x:c r="I39" s="16" t="n">
        <x:v>920</x:v>
      </x:c>
      <x:c r="J39" s="16" t="n">
        <x:v>1290</x:v>
      </x:c>
      <x:c r="K39" s="16" t="n">
        <x:v>110</x:v>
      </x:c>
      <x:c r="L39" s="15" t="n">
        <x:v>16</x:v>
      </x:c>
      <x:c r="M39" s="15" t="n">
        <x:v>10</x:v>
      </x:c>
      <x:c r="N39" s="2" t="n">
        <x:f>MAX(F39,ROUND(G39*(1+$B$5),0))</x:f>
        <x:v>20</x:v>
      </x:c>
      <x:c r="O39" s="2" t="n">
        <x:f>D39-$B$3</x:f>
        <x:v>112</x:v>
      </x:c>
      <x:c r="P39" s="6" t="n">
        <x:f>F39/E39</x:f>
        <x:v>0.21875</x:v>
      </x:c>
      <x:c r="Q39" s="14" t="n">
        <x:f>(E39-F39)*I39</x:f>
        <x:v>23000</x:v>
      </x:c>
      <x:c r="R39" s="2" t="n">
        <x:f>IF(O39&lt;0,0,MAX(0,MIN(L39,E39-MAX(F39,M39,N39+$B$4))))</x:f>
        <x:v>10</x:v>
      </x:c>
      <x:c r="S39" s="2" t="n">
        <x:f>E39-R39</x:f>
        <x:v>22</x:v>
      </x:c>
      <x:c r="T39" s="2" t="n">
        <x:f>MIN(N39,S39)</x:f>
        <x:v>20</x:v>
      </x:c>
      <x:c r="U39" s="14" t="n">
        <x:f>T39*J39-S39*I39-R39*K39</x:f>
        <x:v>4460</x:v>
      </x:c>
      <x:c r="V39" s="14" t="n">
        <x:f>U39-(MIN(N39,E39)*J39-E39*I39)</x:f>
        <x:v>8100</x:v>
      </x:c>
      <x:c r="W39" s="14" t="n">
        <x:f>H39*J39</x:f>
        <x:v>34830</x:v>
      </x:c>
      <x:c r="X39" s="14" t="n">
        <x:f>MIN(N39,E39)*J39</x:f>
        <x:v>25800</x:v>
      </x:c>
      <x:c r="Y39" s="14" t="n">
        <x:f>X39-W39</x:f>
        <x:v>-9030</x:v>
      </x:c>
      <x:c r="Z39" s="2" t="n">
        <x:v>7</x:v>
      </x:c>
      <x:c r="AA39" s="13" t="n">
        <x:v>46447</x:v>
      </x:c>
    </x:row>
    <x:row r="40" ht="22" customHeight="1">
      <x:c r="A40" s="2" t="str">
        <x:v>TC-04008</x:v>
      </x:c>
      <x:c r="B40" s="2" t="str">
        <x:v>MEL-SGN</x:v>
      </x:c>
      <x:c r="C40" s="12" t="n">
        <x:v>46479</x:v>
      </x:c>
      <x:c r="D40" s="12" t="n">
        <x:v>46434</x:v>
      </x:c>
      <x:c r="E40" s="15" t="n">
        <x:v>36</x:v>
      </x:c>
      <x:c r="F40" s="17" t="n">
        <x:f>SUMIFS('Bookings'!$D$6:$D$753,'Bookings'!$B$6:$B$753,A40)</x:f>
        <x:v>7</x:v>
      </x:c>
      <x:c r="G40" s="15" t="n">
        <x:v>25</x:v>
      </x:c>
      <x:c r="H40" s="15" t="n">
        <x:v>31</x:v>
      </x:c>
      <x:c r="I40" s="16" t="n">
        <x:v>920</x:v>
      </x:c>
      <x:c r="J40" s="16" t="n">
        <x:v>1290</x:v>
      </x:c>
      <x:c r="K40" s="16" t="n">
        <x:v>110</x:v>
      </x:c>
      <x:c r="L40" s="15" t="n">
        <x:v>18</x:v>
      </x:c>
      <x:c r="M40" s="15" t="n">
        <x:v>10</x:v>
      </x:c>
      <x:c r="N40" s="2" t="n">
        <x:f>MAX(F40,ROUND(G40*(1+$B$5),0))</x:f>
        <x:v>25</x:v>
      </x:c>
      <x:c r="O40" s="2" t="n">
        <x:f>D40-$B$3</x:f>
        <x:v>130</x:v>
      </x:c>
      <x:c r="P40" s="6" t="n">
        <x:f>F40/E40</x:f>
        <x:v>0.19444444444444445</x:v>
      </x:c>
      <x:c r="Q40" s="14" t="n">
        <x:f>(E40-F40)*I40</x:f>
        <x:v>26680</x:v>
      </x:c>
      <x:c r="R40" s="2" t="n">
        <x:f>IF(O40&lt;0,0,MAX(0,MIN(L40,E40-MAX(F40,M40,N40+$B$4))))</x:f>
        <x:v>9</x:v>
      </x:c>
      <x:c r="S40" s="2" t="n">
        <x:f>E40-R40</x:f>
        <x:v>27</x:v>
      </x:c>
      <x:c r="T40" s="2" t="n">
        <x:f>MIN(N40,S40)</x:f>
        <x:v>25</x:v>
      </x:c>
      <x:c r="U40" s="14" t="n">
        <x:f>T40*J40-S40*I40-R40*K40</x:f>
        <x:v>6420</x:v>
      </x:c>
      <x:c r="V40" s="14" t="n">
        <x:f>U40-(MIN(N40,E40)*J40-E40*I40)</x:f>
        <x:v>7290</x:v>
      </x:c>
      <x:c r="W40" s="14" t="n">
        <x:f>H40*J40</x:f>
        <x:v>39990</x:v>
      </x:c>
      <x:c r="X40" s="14" t="n">
        <x:f>MIN(N40,E40)*J40</x:f>
        <x:v>32250</x:v>
      </x:c>
      <x:c r="Y40" s="14" t="n">
        <x:f>X40-W40</x:f>
        <x:v>-7740</x:v>
      </x:c>
      <x:c r="Z40" s="2" t="n">
        <x:v>7</x:v>
      </x:c>
      <x:c r="AA40" s="13" t="n">
        <x:v>46478</x:v>
      </x:c>
    </x:row>
    <x:row r="41" ht="22" customHeight="1">
      <x:c r="A41" s="2" t="str">
        <x:v>TC-05001</x:v>
      </x:c>
      <x:c r="B41" s="2" t="str">
        <x:v>SYD-SEL</x:v>
      </x:c>
      <x:c r="C41" s="12" t="n">
        <x:v>46356</x:v>
      </x:c>
      <x:c r="D41" s="12" t="n">
        <x:v>46311</x:v>
      </x:c>
      <x:c r="E41" s="15" t="n">
        <x:v>28</x:v>
      </x:c>
      <x:c r="F41" s="17" t="n">
        <x:f>SUMIFS('Bookings'!$D$6:$D$753,'Bookings'!$B$6:$B$753,A41)</x:f>
        <x:v>21</x:v>
      </x:c>
      <x:c r="G41" s="15" t="n">
        <x:v>25</x:v>
      </x:c>
      <x:c r="H41" s="15" t="n">
        <x:v>24</x:v>
      </x:c>
      <x:c r="I41" s="16" t="n">
        <x:v>1280</x:v>
      </x:c>
      <x:c r="J41" s="16" t="n">
        <x:v>1690</x:v>
      </x:c>
      <x:c r="K41" s="16" t="n">
        <x:v>154</x:v>
      </x:c>
      <x:c r="L41" s="15" t="n">
        <x:v>14</x:v>
      </x:c>
      <x:c r="M41" s="15" t="n">
        <x:v>10</x:v>
      </x:c>
      <x:c r="N41" s="2" t="n">
        <x:f>MAX(F41,ROUND(G41*(1+$B$5),0))</x:f>
        <x:v>25</x:v>
      </x:c>
      <x:c r="O41" s="2" t="n">
        <x:f>D41-$B$3</x:f>
        <x:v>7</x:v>
      </x:c>
      <x:c r="P41" s="6" t="n">
        <x:f>F41/E41</x:f>
        <x:v>0.75</x:v>
      </x:c>
      <x:c r="Q41" s="14" t="n">
        <x:f>(E41-F41)*I41</x:f>
        <x:v>8960</x:v>
      </x:c>
      <x:c r="R41" s="2" t="n">
        <x:f>IF(O41&lt;0,0,MAX(0,MIN(L41,E41-MAX(F41,M41,N41+$B$4))))</x:f>
        <x:v>1</x:v>
      </x:c>
      <x:c r="S41" s="2" t="n">
        <x:f>E41-R41</x:f>
        <x:v>27</x:v>
      </x:c>
      <x:c r="T41" s="2" t="n">
        <x:f>MIN(N41,S41)</x:f>
        <x:v>25</x:v>
      </x:c>
      <x:c r="U41" s="14" t="n">
        <x:f>T41*J41-S41*I41-R41*K41</x:f>
        <x:v>7536</x:v>
      </x:c>
      <x:c r="V41" s="14" t="n">
        <x:f>U41-(MIN(N41,E41)*J41-E41*I41)</x:f>
        <x:v>1126</x:v>
      </x:c>
      <x:c r="W41" s="14" t="n">
        <x:f>H41*J41</x:f>
        <x:v>40560</x:v>
      </x:c>
      <x:c r="X41" s="14" t="n">
        <x:f>MIN(N41,E41)*J41</x:f>
        <x:v>42250</x:v>
      </x:c>
      <x:c r="Y41" s="14" t="n">
        <x:f>X41-W41</x:f>
        <x:v>1690</x:v>
      </x:c>
      <x:c r="Z41" s="2" t="n">
        <x:v>22</x:v>
      </x:c>
      <x:c r="AA41" s="13" t="n">
        <x:v>46327</x:v>
      </x:c>
    </x:row>
    <x:row r="42" ht="22" customHeight="1">
      <x:c r="A42" s="2" t="str">
        <x:v>TC-05002</x:v>
      </x:c>
      <x:c r="B42" s="2" t="str">
        <x:v>SYD-SEL</x:v>
      </x:c>
      <x:c r="C42" s="12" t="n">
        <x:v>46374</x:v>
      </x:c>
      <x:c r="D42" s="12" t="n">
        <x:v>46329</x:v>
      </x:c>
      <x:c r="E42" s="15" t="n">
        <x:v>32</x:v>
      </x:c>
      <x:c r="F42" s="17" t="n">
        <x:f>SUMIFS('Bookings'!$D$6:$D$753,'Bookings'!$B$6:$B$753,A42)</x:f>
        <x:v>24</x:v>
      </x:c>
      <x:c r="G42" s="15" t="n">
        <x:v>32</x:v>
      </x:c>
      <x:c r="H42" s="15" t="n">
        <x:v>27</x:v>
      </x:c>
      <x:c r="I42" s="16" t="n">
        <x:v>1280</x:v>
      </x:c>
      <x:c r="J42" s="16" t="n">
        <x:v>1690</x:v>
      </x:c>
      <x:c r="K42" s="16" t="n">
        <x:v>154</x:v>
      </x:c>
      <x:c r="L42" s="15" t="n">
        <x:v>16</x:v>
      </x:c>
      <x:c r="M42" s="15" t="n">
        <x:v>10</x:v>
      </x:c>
      <x:c r="N42" s="2" t="n">
        <x:f>MAX(F42,ROUND(G42*(1+$B$5),0))</x:f>
        <x:v>32</x:v>
      </x:c>
      <x:c r="O42" s="2" t="n">
        <x:f>D42-$B$3</x:f>
        <x:v>25</x:v>
      </x:c>
      <x:c r="P42" s="6" t="n">
        <x:f>F42/E42</x:f>
        <x:v>0.75</x:v>
      </x:c>
      <x:c r="Q42" s="14" t="n">
        <x:f>(E42-F42)*I42</x:f>
        <x:v>10240</x:v>
      </x:c>
      <x:c r="R42" s="2" t="n">
        <x:f>IF(O42&lt;0,0,MAX(0,MIN(L42,E42-MAX(F42,M42,N42+$B$4))))</x:f>
        <x:v>0</x:v>
      </x:c>
      <x:c r="S42" s="2" t="n">
        <x:f>E42-R42</x:f>
        <x:v>32</x:v>
      </x:c>
      <x:c r="T42" s="2" t="n">
        <x:f>MIN(N42,S42)</x:f>
        <x:v>32</x:v>
      </x:c>
      <x:c r="U42" s="14" t="n">
        <x:f>T42*J42-S42*I42-R42*K42</x:f>
        <x:v>13120</x:v>
      </x:c>
      <x:c r="V42" s="14" t="n">
        <x:f>U42-(MIN(N42,E42)*J42-E42*I42)</x:f>
        <x:v>0</x:v>
      </x:c>
      <x:c r="W42" s="14" t="n">
        <x:f>H42*J42</x:f>
        <x:v>45630</x:v>
      </x:c>
      <x:c r="X42" s="14" t="n">
        <x:f>MIN(N42,E42)*J42</x:f>
        <x:v>54080</x:v>
      </x:c>
      <x:c r="Y42" s="14" t="n">
        <x:f>X42-W42</x:f>
        <x:v>8450</x:v>
      </x:c>
      <x:c r="Z42" s="2" t="n">
        <x:v>25</x:v>
      </x:c>
      <x:c r="AA42" s="13" t="n">
        <x:v>46357</x:v>
      </x:c>
    </x:row>
    <x:row r="43" ht="22" customHeight="1">
      <x:c r="A43" s="2" t="str">
        <x:v>TC-05003</x:v>
      </x:c>
      <x:c r="B43" s="2" t="str">
        <x:v>SYD-SEL</x:v>
      </x:c>
      <x:c r="C43" s="12" t="n">
        <x:v>46392</x:v>
      </x:c>
      <x:c r="D43" s="12" t="n">
        <x:v>46347</x:v>
      </x:c>
      <x:c r="E43" s="15" t="n">
        <x:v>36</x:v>
      </x:c>
      <x:c r="F43" s="17" t="n">
        <x:f>SUMIFS('Bookings'!$D$6:$D$753,'Bookings'!$B$6:$B$753,A43)</x:f>
        <x:v>23</x:v>
      </x:c>
      <x:c r="G43" s="15" t="n">
        <x:v>35</x:v>
      </x:c>
      <x:c r="H43" s="15" t="n">
        <x:v>31</x:v>
      </x:c>
      <x:c r="I43" s="16" t="n">
        <x:v>1280</x:v>
      </x:c>
      <x:c r="J43" s="16" t="n">
        <x:v>1690</x:v>
      </x:c>
      <x:c r="K43" s="16" t="n">
        <x:v>154</x:v>
      </x:c>
      <x:c r="L43" s="15" t="n">
        <x:v>18</x:v>
      </x:c>
      <x:c r="M43" s="15" t="n">
        <x:v>10</x:v>
      </x:c>
      <x:c r="N43" s="2" t="n">
        <x:f>MAX(F43,ROUND(G43*(1+$B$5),0))</x:f>
        <x:v>35</x:v>
      </x:c>
      <x:c r="O43" s="2" t="n">
        <x:f>D43-$B$3</x:f>
        <x:v>43</x:v>
      </x:c>
      <x:c r="P43" s="6" t="n">
        <x:f>F43/E43</x:f>
        <x:v>0.6388888888888888</x:v>
      </x:c>
      <x:c r="Q43" s="14" t="n">
        <x:f>(E43-F43)*I43</x:f>
        <x:v>16640</x:v>
      </x:c>
      <x:c r="R43" s="2" t="n">
        <x:f>IF(O43&lt;0,0,MAX(0,MIN(L43,E43-MAX(F43,M43,N43+$B$4))))</x:f>
        <x:v>0</x:v>
      </x:c>
      <x:c r="S43" s="2" t="n">
        <x:f>E43-R43</x:f>
        <x:v>36</x:v>
      </x:c>
      <x:c r="T43" s="2" t="n">
        <x:f>MIN(N43,S43)</x:f>
        <x:v>35</x:v>
      </x:c>
      <x:c r="U43" s="14" t="n">
        <x:f>T43*J43-S43*I43-R43*K43</x:f>
        <x:v>13070</x:v>
      </x:c>
      <x:c r="V43" s="14" t="n">
        <x:f>U43-(MIN(N43,E43)*J43-E43*I43)</x:f>
        <x:v>0</x:v>
      </x:c>
      <x:c r="W43" s="14" t="n">
        <x:f>H43*J43</x:f>
        <x:v>52390</x:v>
      </x:c>
      <x:c r="X43" s="14" t="n">
        <x:f>MIN(N43,E43)*J43</x:f>
        <x:v>59150</x:v>
      </x:c>
      <x:c r="Y43" s="14" t="n">
        <x:f>X43-W43</x:f>
        <x:v>6760</x:v>
      </x:c>
      <x:c r="Z43" s="2" t="n">
        <x:v>22</x:v>
      </x:c>
      <x:c r="AA43" s="13" t="n">
        <x:v>46388</x:v>
      </x:c>
    </x:row>
    <x:row r="44" ht="22" customHeight="1">
      <x:c r="A44" s="2" t="str">
        <x:v>TC-05004</x:v>
      </x:c>
      <x:c r="B44" s="2" t="str">
        <x:v>SYD-SEL</x:v>
      </x:c>
      <x:c r="C44" s="12" t="n">
        <x:v>46410</x:v>
      </x:c>
      <x:c r="D44" s="12" t="n">
        <x:v>46365</x:v>
      </x:c>
      <x:c r="E44" s="15" t="n">
        <x:v>40</x:v>
      </x:c>
      <x:c r="F44" s="17" t="n">
        <x:f>SUMIFS('Bookings'!$D$6:$D$753,'Bookings'!$B$6:$B$753,A44)</x:f>
        <x:v>21</x:v>
      </x:c>
      <x:c r="G44" s="15" t="n">
        <x:v>38</x:v>
      </x:c>
      <x:c r="H44" s="15" t="n">
        <x:v>34</x:v>
      </x:c>
      <x:c r="I44" s="16" t="n">
        <x:v>1280</x:v>
      </x:c>
      <x:c r="J44" s="16" t="n">
        <x:v>1690</x:v>
      </x:c>
      <x:c r="K44" s="16" t="n">
        <x:v>154</x:v>
      </x:c>
      <x:c r="L44" s="15" t="n">
        <x:v>20</x:v>
      </x:c>
      <x:c r="M44" s="15" t="n">
        <x:v>10</x:v>
      </x:c>
      <x:c r="N44" s="2" t="n">
        <x:f>MAX(F44,ROUND(G44*(1+$B$5),0))</x:f>
        <x:v>38</x:v>
      </x:c>
      <x:c r="O44" s="2" t="n">
        <x:f>D44-$B$3</x:f>
        <x:v>61</x:v>
      </x:c>
      <x:c r="P44" s="6" t="n">
        <x:f>F44/E44</x:f>
        <x:v>0.525</x:v>
      </x:c>
      <x:c r="Q44" s="14" t="n">
        <x:f>(E44-F44)*I44</x:f>
        <x:v>24320</x:v>
      </x:c>
      <x:c r="R44" s="2" t="n">
        <x:f>IF(O44&lt;0,0,MAX(0,MIN(L44,E44-MAX(F44,M44,N44+$B$4))))</x:f>
        <x:v>0</x:v>
      </x:c>
      <x:c r="S44" s="2" t="n">
        <x:f>E44-R44</x:f>
        <x:v>40</x:v>
      </x:c>
      <x:c r="T44" s="2" t="n">
        <x:f>MIN(N44,S44)</x:f>
        <x:v>38</x:v>
      </x:c>
      <x:c r="U44" s="14" t="n">
        <x:f>T44*J44-S44*I44-R44*K44</x:f>
        <x:v>13020</x:v>
      </x:c>
      <x:c r="V44" s="14" t="n">
        <x:f>U44-(MIN(N44,E44)*J44-E44*I44)</x:f>
        <x:v>0</x:v>
      </x:c>
      <x:c r="W44" s="14" t="n">
        <x:f>H44*J44</x:f>
        <x:v>57460</x:v>
      </x:c>
      <x:c r="X44" s="14" t="n">
        <x:f>MIN(N44,E44)*J44</x:f>
        <x:v>64220</x:v>
      </x:c>
      <x:c r="Y44" s="14" t="n">
        <x:f>X44-W44</x:f>
        <x:v>6760</x:v>
      </x:c>
      <x:c r="Z44" s="2" t="n">
        <x:v>20</x:v>
      </x:c>
      <x:c r="AA44" s="13" t="n">
        <x:v>46388</x:v>
      </x:c>
    </x:row>
    <x:row r="45" ht="22" customHeight="1">
      <x:c r="A45" s="2" t="str">
        <x:v>TC-05005</x:v>
      </x:c>
      <x:c r="B45" s="2" t="str">
        <x:v>SYD-SEL</x:v>
      </x:c>
      <x:c r="C45" s="12" t="n">
        <x:v>46428</x:v>
      </x:c>
      <x:c r="D45" s="12" t="n">
        <x:v>46383</x:v>
      </x:c>
      <x:c r="E45" s="15" t="n">
        <x:v>28</x:v>
      </x:c>
      <x:c r="F45" s="17" t="n">
        <x:f>SUMIFS('Bookings'!$D$6:$D$753,'Bookings'!$B$6:$B$753,A45)</x:f>
        <x:v>12</x:v>
      </x:c>
      <x:c r="G45" s="15" t="n">
        <x:v>26</x:v>
      </x:c>
      <x:c r="H45" s="15" t="n">
        <x:v>24</x:v>
      </x:c>
      <x:c r="I45" s="16" t="n">
        <x:v>1280</x:v>
      </x:c>
      <x:c r="J45" s="16" t="n">
        <x:v>1690</x:v>
      </x:c>
      <x:c r="K45" s="16" t="n">
        <x:v>154</x:v>
      </x:c>
      <x:c r="L45" s="15" t="n">
        <x:v>14</x:v>
      </x:c>
      <x:c r="M45" s="15" t="n">
        <x:v>10</x:v>
      </x:c>
      <x:c r="N45" s="2" t="n">
        <x:f>MAX(F45,ROUND(G45*(1+$B$5),0))</x:f>
        <x:v>26</x:v>
      </x:c>
      <x:c r="O45" s="2" t="n">
        <x:f>D45-$B$3</x:f>
        <x:v>79</x:v>
      </x:c>
      <x:c r="P45" s="6" t="n">
        <x:f>F45/E45</x:f>
        <x:v>0.42857142857142855</x:v>
      </x:c>
      <x:c r="Q45" s="14" t="n">
        <x:f>(E45-F45)*I45</x:f>
        <x:v>20480</x:v>
      </x:c>
      <x:c r="R45" s="2" t="n">
        <x:f>IF(O45&lt;0,0,MAX(0,MIN(L45,E45-MAX(F45,M45,N45+$B$4))))</x:f>
        <x:v>0</x:v>
      </x:c>
      <x:c r="S45" s="2" t="n">
        <x:f>E45-R45</x:f>
        <x:v>28</x:v>
      </x:c>
      <x:c r="T45" s="2" t="n">
        <x:f>MIN(N45,S45)</x:f>
        <x:v>26</x:v>
      </x:c>
      <x:c r="U45" s="14" t="n">
        <x:f>T45*J45-S45*I45-R45*K45</x:f>
        <x:v>8100</x:v>
      </x:c>
      <x:c r="V45" s="14" t="n">
        <x:f>U45-(MIN(N45,E45)*J45-E45*I45)</x:f>
        <x:v>0</x:v>
      </x:c>
      <x:c r="W45" s="14" t="n">
        <x:f>H45*J45</x:f>
        <x:v>40560</x:v>
      </x:c>
      <x:c r="X45" s="14" t="n">
        <x:f>MIN(N45,E45)*J45</x:f>
        <x:v>43940</x:v>
      </x:c>
      <x:c r="Y45" s="14" t="n">
        <x:f>X45-W45</x:f>
        <x:v>3380</x:v>
      </x:c>
      <x:c r="Z45" s="2" t="n">
        <x:v>10</x:v>
      </x:c>
      <x:c r="AA45" s="13" t="n">
        <x:v>46419</x:v>
      </x:c>
    </x:row>
    <x:row r="46" ht="22" customHeight="1">
      <x:c r="A46" s="2" t="str">
        <x:v>TC-05006</x:v>
      </x:c>
      <x:c r="B46" s="2" t="str">
        <x:v>SYD-SEL</x:v>
      </x:c>
      <x:c r="C46" s="12" t="n">
        <x:v>46446</x:v>
      </x:c>
      <x:c r="D46" s="12" t="n">
        <x:v>46401</x:v>
      </x:c>
      <x:c r="E46" s="15" t="n">
        <x:v>32</x:v>
      </x:c>
      <x:c r="F46" s="17" t="n">
        <x:f>SUMIFS('Bookings'!$D$6:$D$753,'Bookings'!$B$6:$B$753,A46)</x:f>
        <x:v>11</x:v>
      </x:c>
      <x:c r="G46" s="15" t="n">
        <x:v>28</x:v>
      </x:c>
      <x:c r="H46" s="15" t="n">
        <x:v>27</x:v>
      </x:c>
      <x:c r="I46" s="16" t="n">
        <x:v>1280</x:v>
      </x:c>
      <x:c r="J46" s="16" t="n">
        <x:v>1690</x:v>
      </x:c>
      <x:c r="K46" s="16" t="n">
        <x:v>154</x:v>
      </x:c>
      <x:c r="L46" s="15" t="n">
        <x:v>16</x:v>
      </x:c>
      <x:c r="M46" s="15" t="n">
        <x:v>10</x:v>
      </x:c>
      <x:c r="N46" s="2" t="n">
        <x:f>MAX(F46,ROUND(G46*(1+$B$5),0))</x:f>
        <x:v>28</x:v>
      </x:c>
      <x:c r="O46" s="2" t="n">
        <x:f>D46-$B$3</x:f>
        <x:v>97</x:v>
      </x:c>
      <x:c r="P46" s="6" t="n">
        <x:f>F46/E46</x:f>
        <x:v>0.34375</x:v>
      </x:c>
      <x:c r="Q46" s="14" t="n">
        <x:f>(E46-F46)*I46</x:f>
        <x:v>26880</x:v>
      </x:c>
      <x:c r="R46" s="2" t="n">
        <x:f>IF(O46&lt;0,0,MAX(0,MIN(L46,E46-MAX(F46,M46,N46+$B$4))))</x:f>
        <x:v>2</x:v>
      </x:c>
      <x:c r="S46" s="2" t="n">
        <x:f>E46-R46</x:f>
        <x:v>30</x:v>
      </x:c>
      <x:c r="T46" s="2" t="n">
        <x:f>MIN(N46,S46)</x:f>
        <x:v>28</x:v>
      </x:c>
      <x:c r="U46" s="14" t="n">
        <x:f>T46*J46-S46*I46-R46*K46</x:f>
        <x:v>8612</x:v>
      </x:c>
      <x:c r="V46" s="14" t="n">
        <x:f>U46-(MIN(N46,E46)*J46-E46*I46)</x:f>
        <x:v>2252</x:v>
      </x:c>
      <x:c r="W46" s="14" t="n">
        <x:f>H46*J46</x:f>
        <x:v>45630</x:v>
      </x:c>
      <x:c r="X46" s="14" t="n">
        <x:f>MIN(N46,E46)*J46</x:f>
        <x:v>47320</x:v>
      </x:c>
      <x:c r="Y46" s="14" t="n">
        <x:f>X46-W46</x:f>
        <x:v>1690</x:v>
      </x:c>
      <x:c r="Z46" s="2" t="n">
        <x:v>12</x:v>
      </x:c>
      <x:c r="AA46" s="13" t="n">
        <x:v>46419</x:v>
      </x:c>
    </x:row>
    <x:row r="47" ht="22" customHeight="1">
      <x:c r="A47" s="2" t="str">
        <x:v>TC-05007</x:v>
      </x:c>
      <x:c r="B47" s="2" t="str">
        <x:v>SYD-SEL</x:v>
      </x:c>
      <x:c r="C47" s="12" t="n">
        <x:v>46464</x:v>
      </x:c>
      <x:c r="D47" s="12" t="n">
        <x:v>46419</x:v>
      </x:c>
      <x:c r="E47" s="15" t="n">
        <x:v>36</x:v>
      </x:c>
      <x:c r="F47" s="17" t="n">
        <x:f>SUMIFS('Bookings'!$D$6:$D$753,'Bookings'!$B$6:$B$753,A47)</x:f>
        <x:v>12</x:v>
      </x:c>
      <x:c r="G47" s="15" t="n">
        <x:v>36</x:v>
      </x:c>
      <x:c r="H47" s="15" t="n">
        <x:v>31</x:v>
      </x:c>
      <x:c r="I47" s="16" t="n">
        <x:v>1280</x:v>
      </x:c>
      <x:c r="J47" s="16" t="n">
        <x:v>1690</x:v>
      </x:c>
      <x:c r="K47" s="16" t="n">
        <x:v>154</x:v>
      </x:c>
      <x:c r="L47" s="15" t="n">
        <x:v>18</x:v>
      </x:c>
      <x:c r="M47" s="15" t="n">
        <x:v>10</x:v>
      </x:c>
      <x:c r="N47" s="2" t="n">
        <x:f>MAX(F47,ROUND(G47*(1+$B$5),0))</x:f>
        <x:v>36</x:v>
      </x:c>
      <x:c r="O47" s="2" t="n">
        <x:f>D47-$B$3</x:f>
        <x:v>115</x:v>
      </x:c>
      <x:c r="P47" s="6" t="n">
        <x:f>F47/E47</x:f>
        <x:v>0.3333333333333333</x:v>
      </x:c>
      <x:c r="Q47" s="14" t="n">
        <x:f>(E47-F47)*I47</x:f>
        <x:v>30720</x:v>
      </x:c>
      <x:c r="R47" s="2" t="n">
        <x:f>IF(O47&lt;0,0,MAX(0,MIN(L47,E47-MAX(F47,M47,N47+$B$4))))</x:f>
        <x:v>0</x:v>
      </x:c>
      <x:c r="S47" s="2" t="n">
        <x:f>E47-R47</x:f>
        <x:v>36</x:v>
      </x:c>
      <x:c r="T47" s="2" t="n">
        <x:f>MIN(N47,S47)</x:f>
        <x:v>36</x:v>
      </x:c>
      <x:c r="U47" s="14" t="n">
        <x:f>T47*J47-S47*I47-R47*K47</x:f>
        <x:v>14760</x:v>
      </x:c>
      <x:c r="V47" s="14" t="n">
        <x:f>U47-(MIN(N47,E47)*J47-E47*I47)</x:f>
        <x:v>0</x:v>
      </x:c>
      <x:c r="W47" s="14" t="n">
        <x:f>H47*J47</x:f>
        <x:v>52390</x:v>
      </x:c>
      <x:c r="X47" s="14" t="n">
        <x:f>MIN(N47,E47)*J47</x:f>
        <x:v>60840</x:v>
      </x:c>
      <x:c r="Y47" s="14" t="n">
        <x:f>X47-W47</x:f>
        <x:v>8450</x:v>
      </x:c>
      <x:c r="Z47" s="2" t="n">
        <x:v>12</x:v>
      </x:c>
      <x:c r="AA47" s="13" t="n">
        <x:v>46447</x:v>
      </x:c>
    </x:row>
    <x:row r="48" ht="22" customHeight="1">
      <x:c r="A48" s="2" t="str">
        <x:v>TC-05008</x:v>
      </x:c>
      <x:c r="B48" s="2" t="str">
        <x:v>SYD-SEL</x:v>
      </x:c>
      <x:c r="C48" s="12" t="n">
        <x:v>46482</x:v>
      </x:c>
      <x:c r="D48" s="12" t="n">
        <x:v>46437</x:v>
      </x:c>
      <x:c r="E48" s="15" t="n">
        <x:v>40</x:v>
      </x:c>
      <x:c r="F48" s="17" t="n">
        <x:f>SUMIFS('Bookings'!$D$6:$D$753,'Bookings'!$B$6:$B$753,A48)</x:f>
        <x:v>10</x:v>
      </x:c>
      <x:c r="G48" s="15" t="n">
        <x:v>37</x:v>
      </x:c>
      <x:c r="H48" s="15" t="n">
        <x:v>34</x:v>
      </x:c>
      <x:c r="I48" s="16" t="n">
        <x:v>1280</x:v>
      </x:c>
      <x:c r="J48" s="16" t="n">
        <x:v>1690</x:v>
      </x:c>
      <x:c r="K48" s="16" t="n">
        <x:v>154</x:v>
      </x:c>
      <x:c r="L48" s="15" t="n">
        <x:v>20</x:v>
      </x:c>
      <x:c r="M48" s="15" t="n">
        <x:v>10</x:v>
      </x:c>
      <x:c r="N48" s="2" t="n">
        <x:f>MAX(F48,ROUND(G48*(1+$B$5),0))</x:f>
        <x:v>37</x:v>
      </x:c>
      <x:c r="O48" s="2" t="n">
        <x:f>D48-$B$3</x:f>
        <x:v>133</x:v>
      </x:c>
      <x:c r="P48" s="6" t="n">
        <x:f>F48/E48</x:f>
        <x:v>0.25</x:v>
      </x:c>
      <x:c r="Q48" s="14" t="n">
        <x:f>(E48-F48)*I48</x:f>
        <x:v>38400</x:v>
      </x:c>
      <x:c r="R48" s="2" t="n">
        <x:f>IF(O48&lt;0,0,MAX(0,MIN(L48,E48-MAX(F48,M48,N48+$B$4))))</x:f>
        <x:v>1</x:v>
      </x:c>
      <x:c r="S48" s="2" t="n">
        <x:f>E48-R48</x:f>
        <x:v>39</x:v>
      </x:c>
      <x:c r="T48" s="2" t="n">
        <x:f>MIN(N48,S48)</x:f>
        <x:v>37</x:v>
      </x:c>
      <x:c r="U48" s="14" t="n">
        <x:f>T48*J48-S48*I48-R48*K48</x:f>
        <x:v>12456</x:v>
      </x:c>
      <x:c r="V48" s="14" t="n">
        <x:f>U48-(MIN(N48,E48)*J48-E48*I48)</x:f>
        <x:v>1126</x:v>
      </x:c>
      <x:c r="W48" s="14" t="n">
        <x:f>H48*J48</x:f>
        <x:v>57460</x:v>
      </x:c>
      <x:c r="X48" s="14" t="n">
        <x:f>MIN(N48,E48)*J48</x:f>
        <x:v>62530</x:v>
      </x:c>
      <x:c r="Y48" s="14" t="n">
        <x:f>X48-W48</x:f>
        <x:v>5070</x:v>
      </x:c>
      <x:c r="Z48" s="2" t="n">
        <x:v>9</x:v>
      </x:c>
      <x:c r="AA48" s="13" t="n">
        <x:v>46478</x:v>
      </x:c>
    </x:row>
    <x:row r="49" ht="22" customHeight="1">
      <x:c r="A49" s="2" t="str">
        <x:v>TC-06001</x:v>
      </x:c>
      <x:c r="B49" s="2" t="str">
        <x:v>MEL-SIN</x:v>
      </x:c>
      <x:c r="C49" s="12" t="n">
        <x:v>46359</x:v>
      </x:c>
      <x:c r="D49" s="12" t="n">
        <x:v>46314</x:v>
      </x:c>
      <x:c r="E49" s="15" t="n">
        <x:v>32</x:v>
      </x:c>
      <x:c r="F49" s="17" t="n">
        <x:f>SUMIFS('Bookings'!$D$6:$D$753,'Bookings'!$B$6:$B$753,A49)</x:f>
        <x:v>23</x:v>
      </x:c>
      <x:c r="G49" s="15" t="n">
        <x:v>28</x:v>
      </x:c>
      <x:c r="H49" s="15" t="n">
        <x:v>27</x:v>
      </x:c>
      <x:c r="I49" s="16" t="n">
        <x:v>1050</x:v>
      </x:c>
      <x:c r="J49" s="16" t="n">
        <x:v>1420</x:v>
      </x:c>
      <x:c r="K49" s="16" t="n">
        <x:v>126</x:v>
      </x:c>
      <x:c r="L49" s="15" t="n">
        <x:v>16</x:v>
      </x:c>
      <x:c r="M49" s="15" t="n">
        <x:v>10</x:v>
      </x:c>
      <x:c r="N49" s="2" t="n">
        <x:f>MAX(F49,ROUND(G49*(1+$B$5),0))</x:f>
        <x:v>28</x:v>
      </x:c>
      <x:c r="O49" s="2" t="n">
        <x:f>D49-$B$3</x:f>
        <x:v>10</x:v>
      </x:c>
      <x:c r="P49" s="6" t="n">
        <x:f>F49/E49</x:f>
        <x:v>0.71875</x:v>
      </x:c>
      <x:c r="Q49" s="14" t="n">
        <x:f>(E49-F49)*I49</x:f>
        <x:v>9450</x:v>
      </x:c>
      <x:c r="R49" s="2" t="n">
        <x:f>IF(O49&lt;0,0,MAX(0,MIN(L49,E49-MAX(F49,M49,N49+$B$4))))</x:f>
        <x:v>2</x:v>
      </x:c>
      <x:c r="S49" s="2" t="n">
        <x:f>E49-R49</x:f>
        <x:v>30</x:v>
      </x:c>
      <x:c r="T49" s="2" t="n">
        <x:f>MIN(N49,S49)</x:f>
        <x:v>28</x:v>
      </x:c>
      <x:c r="U49" s="14" t="n">
        <x:f>T49*J49-S49*I49-R49*K49</x:f>
        <x:v>8008</x:v>
      </x:c>
      <x:c r="V49" s="14" t="n">
        <x:f>U49-(MIN(N49,E49)*J49-E49*I49)</x:f>
        <x:v>1848</x:v>
      </x:c>
      <x:c r="W49" s="14" t="n">
        <x:f>H49*J49</x:f>
        <x:v>38340</x:v>
      </x:c>
      <x:c r="X49" s="14" t="n">
        <x:f>MIN(N49,E49)*J49</x:f>
        <x:v>39760</x:v>
      </x:c>
      <x:c r="Y49" s="14" t="n">
        <x:f>X49-W49</x:f>
        <x:v>1420</x:v>
      </x:c>
      <x:c r="Z49" s="2" t="n">
        <x:v>24</x:v>
      </x:c>
      <x:c r="AA49" s="13" t="n">
        <x:v>46357</x:v>
      </x:c>
    </x:row>
    <x:row r="50" ht="22" customHeight="1">
      <x:c r="A50" s="2" t="str">
        <x:v>TC-06002</x:v>
      </x:c>
      <x:c r="B50" s="2" t="str">
        <x:v>MEL-SIN</x:v>
      </x:c>
      <x:c r="C50" s="12" t="n">
        <x:v>46377</x:v>
      </x:c>
      <x:c r="D50" s="12" t="n">
        <x:v>46332</x:v>
      </x:c>
      <x:c r="E50" s="15" t="n">
        <x:v>36</x:v>
      </x:c>
      <x:c r="F50" s="17" t="n">
        <x:f>SUMIFS('Bookings'!$D$6:$D$753,'Bookings'!$B$6:$B$753,A50)</x:f>
        <x:v>19</x:v>
      </x:c>
      <x:c r="G50" s="15" t="n">
        <x:v>26</x:v>
      </x:c>
      <x:c r="H50" s="15" t="n">
        <x:v>31</x:v>
      </x:c>
      <x:c r="I50" s="16" t="n">
        <x:v>1050</x:v>
      </x:c>
      <x:c r="J50" s="16" t="n">
        <x:v>1420</x:v>
      </x:c>
      <x:c r="K50" s="16" t="n">
        <x:v>126</x:v>
      </x:c>
      <x:c r="L50" s="15" t="n">
        <x:v>18</x:v>
      </x:c>
      <x:c r="M50" s="15" t="n">
        <x:v>10</x:v>
      </x:c>
      <x:c r="N50" s="2" t="n">
        <x:f>MAX(F50,ROUND(G50*(1+$B$5),0))</x:f>
        <x:v>26</x:v>
      </x:c>
      <x:c r="O50" s="2" t="n">
        <x:f>D50-$B$3</x:f>
        <x:v>28</x:v>
      </x:c>
      <x:c r="P50" s="6" t="n">
        <x:f>F50/E50</x:f>
        <x:v>0.5277777777777778</x:v>
      </x:c>
      <x:c r="Q50" s="14" t="n">
        <x:f>(E50-F50)*I50</x:f>
        <x:v>17850</x:v>
      </x:c>
      <x:c r="R50" s="2" t="n">
        <x:f>IF(O50&lt;0,0,MAX(0,MIN(L50,E50-MAX(F50,M50,N50+$B$4))))</x:f>
        <x:v>8</x:v>
      </x:c>
      <x:c r="S50" s="2" t="n">
        <x:f>E50-R50</x:f>
        <x:v>28</x:v>
      </x:c>
      <x:c r="T50" s="2" t="n">
        <x:f>MIN(N50,S50)</x:f>
        <x:v>26</x:v>
      </x:c>
      <x:c r="U50" s="14" t="n">
        <x:f>T50*J50-S50*I50-R50*K50</x:f>
        <x:v>6512</x:v>
      </x:c>
      <x:c r="V50" s="14" t="n">
        <x:f>U50-(MIN(N50,E50)*J50-E50*I50)</x:f>
        <x:v>7392</x:v>
      </x:c>
      <x:c r="W50" s="14" t="n">
        <x:f>H50*J50</x:f>
        <x:v>44020</x:v>
      </x:c>
      <x:c r="X50" s="14" t="n">
        <x:f>MIN(N50,E50)*J50</x:f>
        <x:v>36920</x:v>
      </x:c>
      <x:c r="Y50" s="14" t="n">
        <x:f>X50-W50</x:f>
        <x:v>-7100</x:v>
      </x:c>
      <x:c r="Z50" s="2" t="n">
        <x:v>17</x:v>
      </x:c>
      <x:c r="AA50" s="13" t="n">
        <x:v>46357</x:v>
      </x:c>
    </x:row>
    <x:row r="51" ht="22" customHeight="1">
      <x:c r="A51" s="2" t="str">
        <x:v>TC-06003</x:v>
      </x:c>
      <x:c r="B51" s="2" t="str">
        <x:v>MEL-SIN</x:v>
      </x:c>
      <x:c r="C51" s="12" t="n">
        <x:v>46395</x:v>
      </x:c>
      <x:c r="D51" s="12" t="n">
        <x:v>46350</x:v>
      </x:c>
      <x:c r="E51" s="15" t="n">
        <x:v>40</x:v>
      </x:c>
      <x:c r="F51" s="17" t="n">
        <x:f>SUMIFS('Bookings'!$D$6:$D$753,'Bookings'!$B$6:$B$753,A51)</x:f>
        <x:v>20</x:v>
      </x:c>
      <x:c r="G51" s="15" t="n">
        <x:v>32</x:v>
      </x:c>
      <x:c r="H51" s="15" t="n">
        <x:v>34</x:v>
      </x:c>
      <x:c r="I51" s="16" t="n">
        <x:v>1050</x:v>
      </x:c>
      <x:c r="J51" s="16" t="n">
        <x:v>1420</x:v>
      </x:c>
      <x:c r="K51" s="16" t="n">
        <x:v>126</x:v>
      </x:c>
      <x:c r="L51" s="15" t="n">
        <x:v>20</x:v>
      </x:c>
      <x:c r="M51" s="15" t="n">
        <x:v>10</x:v>
      </x:c>
      <x:c r="N51" s="2" t="n">
        <x:f>MAX(F51,ROUND(G51*(1+$B$5),0))</x:f>
        <x:v>32</x:v>
      </x:c>
      <x:c r="O51" s="2" t="n">
        <x:f>D51-$B$3</x:f>
        <x:v>46</x:v>
      </x:c>
      <x:c r="P51" s="6" t="n">
        <x:f>F51/E51</x:f>
        <x:v>0.5</x:v>
      </x:c>
      <x:c r="Q51" s="14" t="n">
        <x:f>(E51-F51)*I51</x:f>
        <x:v>21000</x:v>
      </x:c>
      <x:c r="R51" s="2" t="n">
        <x:f>IF(O51&lt;0,0,MAX(0,MIN(L51,E51-MAX(F51,M51,N51+$B$4))))</x:f>
        <x:v>6</x:v>
      </x:c>
      <x:c r="S51" s="2" t="n">
        <x:f>E51-R51</x:f>
        <x:v>34</x:v>
      </x:c>
      <x:c r="T51" s="2" t="n">
        <x:f>MIN(N51,S51)</x:f>
        <x:v>32</x:v>
      </x:c>
      <x:c r="U51" s="14" t="n">
        <x:f>T51*J51-S51*I51-R51*K51</x:f>
        <x:v>8984</x:v>
      </x:c>
      <x:c r="V51" s="14" t="n">
        <x:f>U51-(MIN(N51,E51)*J51-E51*I51)</x:f>
        <x:v>5544</x:v>
      </x:c>
      <x:c r="W51" s="14" t="n">
        <x:f>H51*J51</x:f>
        <x:v>48280</x:v>
      </x:c>
      <x:c r="X51" s="14" t="n">
        <x:f>MIN(N51,E51)*J51</x:f>
        <x:v>45440</x:v>
      </x:c>
      <x:c r="Y51" s="14" t="n">
        <x:f>X51-W51</x:f>
        <x:v>-2840</x:v>
      </x:c>
      <x:c r="Z51" s="2" t="n">
        <x:v>21</x:v>
      </x:c>
      <x:c r="AA51" s="13" t="n">
        <x:v>46388</x:v>
      </x:c>
    </x:row>
    <x:row r="52" ht="22" customHeight="1">
      <x:c r="A52" s="2" t="str">
        <x:v>TC-06004</x:v>
      </x:c>
      <x:c r="B52" s="2" t="str">
        <x:v>MEL-SIN</x:v>
      </x:c>
      <x:c r="C52" s="12" t="n">
        <x:v>46413</x:v>
      </x:c>
      <x:c r="D52" s="12" t="n">
        <x:v>46368</x:v>
      </x:c>
      <x:c r="E52" s="15" t="n">
        <x:v>28</x:v>
      </x:c>
      <x:c r="F52" s="17" t="n">
        <x:f>SUMIFS('Bookings'!$D$6:$D$753,'Bookings'!$B$6:$B$753,A52)</x:f>
        <x:v>11</x:v>
      </x:c>
      <x:c r="G52" s="15" t="n">
        <x:v>20</x:v>
      </x:c>
      <x:c r="H52" s="15" t="n">
        <x:v>24</x:v>
      </x:c>
      <x:c r="I52" s="16" t="n">
        <x:v>1050</x:v>
      </x:c>
      <x:c r="J52" s="16" t="n">
        <x:v>1420</x:v>
      </x:c>
      <x:c r="K52" s="16" t="n">
        <x:v>126</x:v>
      </x:c>
      <x:c r="L52" s="15" t="n">
        <x:v>14</x:v>
      </x:c>
      <x:c r="M52" s="15" t="n">
        <x:v>10</x:v>
      </x:c>
      <x:c r="N52" s="2" t="n">
        <x:f>MAX(F52,ROUND(G52*(1+$B$5),0))</x:f>
        <x:v>20</x:v>
      </x:c>
      <x:c r="O52" s="2" t="n">
        <x:f>D52-$B$3</x:f>
        <x:v>64</x:v>
      </x:c>
      <x:c r="P52" s="6" t="n">
        <x:f>F52/E52</x:f>
        <x:v>0.39285714285714285</x:v>
      </x:c>
      <x:c r="Q52" s="14" t="n">
        <x:f>(E52-F52)*I52</x:f>
        <x:v>17850</x:v>
      </x:c>
      <x:c r="R52" s="2" t="n">
        <x:f>IF(O52&lt;0,0,MAX(0,MIN(L52,E52-MAX(F52,M52,N52+$B$4))))</x:f>
        <x:v>6</x:v>
      </x:c>
      <x:c r="S52" s="2" t="n">
        <x:f>E52-R52</x:f>
        <x:v>22</x:v>
      </x:c>
      <x:c r="T52" s="2" t="n">
        <x:f>MIN(N52,S52)</x:f>
        <x:v>20</x:v>
      </x:c>
      <x:c r="U52" s="14" t="n">
        <x:f>T52*J52-S52*I52-R52*K52</x:f>
        <x:v>4544</x:v>
      </x:c>
      <x:c r="V52" s="14" t="n">
        <x:f>U52-(MIN(N52,E52)*J52-E52*I52)</x:f>
        <x:v>5544</x:v>
      </x:c>
      <x:c r="W52" s="14" t="n">
        <x:f>H52*J52</x:f>
        <x:v>34080</x:v>
      </x:c>
      <x:c r="X52" s="14" t="n">
        <x:f>MIN(N52,E52)*J52</x:f>
        <x:v>28400</x:v>
      </x:c>
      <x:c r="Y52" s="14" t="n">
        <x:f>X52-W52</x:f>
        <x:v>-5680</x:v>
      </x:c>
      <x:c r="Z52" s="2" t="n">
        <x:v>9</x:v>
      </x:c>
      <x:c r="AA52" s="13" t="n">
        <x:v>46388</x:v>
      </x:c>
    </x:row>
    <x:row r="53" ht="22" customHeight="1">
      <x:c r="A53" s="2" t="str">
        <x:v>TC-06005</x:v>
      </x:c>
      <x:c r="B53" s="2" t="str">
        <x:v>MEL-SIN</x:v>
      </x:c>
      <x:c r="C53" s="12" t="n">
        <x:v>46431</x:v>
      </x:c>
      <x:c r="D53" s="12" t="n">
        <x:v>46386</x:v>
      </x:c>
      <x:c r="E53" s="15" t="n">
        <x:v>32</x:v>
      </x:c>
      <x:c r="F53" s="17" t="n">
        <x:f>SUMIFS('Bookings'!$D$6:$D$753,'Bookings'!$B$6:$B$753,A53)</x:f>
        <x:v>12</x:v>
      </x:c>
      <x:c r="G53" s="15" t="n">
        <x:v>26</x:v>
      </x:c>
      <x:c r="H53" s="15" t="n">
        <x:v>27</x:v>
      </x:c>
      <x:c r="I53" s="16" t="n">
        <x:v>1050</x:v>
      </x:c>
      <x:c r="J53" s="16" t="n">
        <x:v>1420</x:v>
      </x:c>
      <x:c r="K53" s="16" t="n">
        <x:v>126</x:v>
      </x:c>
      <x:c r="L53" s="15" t="n">
        <x:v>16</x:v>
      </x:c>
      <x:c r="M53" s="15" t="n">
        <x:v>10</x:v>
      </x:c>
      <x:c r="N53" s="2" t="n">
        <x:f>MAX(F53,ROUND(G53*(1+$B$5),0))</x:f>
        <x:v>26</x:v>
      </x:c>
      <x:c r="O53" s="2" t="n">
        <x:f>D53-$B$3</x:f>
        <x:v>82</x:v>
      </x:c>
      <x:c r="P53" s="6" t="n">
        <x:f>F53/E53</x:f>
        <x:v>0.375</x:v>
      </x:c>
      <x:c r="Q53" s="14" t="n">
        <x:f>(E53-F53)*I53</x:f>
        <x:v>21000</x:v>
      </x:c>
      <x:c r="R53" s="2" t="n">
        <x:f>IF(O53&lt;0,0,MAX(0,MIN(L53,E53-MAX(F53,M53,N53+$B$4))))</x:f>
        <x:v>4</x:v>
      </x:c>
      <x:c r="S53" s="2" t="n">
        <x:f>E53-R53</x:f>
        <x:v>28</x:v>
      </x:c>
      <x:c r="T53" s="2" t="n">
        <x:f>MIN(N53,S53)</x:f>
        <x:v>26</x:v>
      </x:c>
      <x:c r="U53" s="14" t="n">
        <x:f>T53*J53-S53*I53-R53*K53</x:f>
        <x:v>7016</x:v>
      </x:c>
      <x:c r="V53" s="14" t="n">
        <x:f>U53-(MIN(N53,E53)*J53-E53*I53)</x:f>
        <x:v>3696</x:v>
      </x:c>
      <x:c r="W53" s="14" t="n">
        <x:f>H53*J53</x:f>
        <x:v>38340</x:v>
      </x:c>
      <x:c r="X53" s="14" t="n">
        <x:f>MIN(N53,E53)*J53</x:f>
        <x:v>36920</x:v>
      </x:c>
      <x:c r="Y53" s="14" t="n">
        <x:f>X53-W53</x:f>
        <x:v>-1420</x:v>
      </x:c>
      <x:c r="Z53" s="2" t="n">
        <x:v>13</x:v>
      </x:c>
      <x:c r="AA53" s="13" t="n">
        <x:v>46419</x:v>
      </x:c>
    </x:row>
    <x:row r="54" ht="22" customHeight="1">
      <x:c r="A54" s="2" t="str">
        <x:v>TC-06006</x:v>
      </x:c>
      <x:c r="B54" s="2" t="str">
        <x:v>MEL-SIN</x:v>
      </x:c>
      <x:c r="C54" s="12" t="n">
        <x:v>46449</x:v>
      </x:c>
      <x:c r="D54" s="12" t="n">
        <x:v>46404</x:v>
      </x:c>
      <x:c r="E54" s="15" t="n">
        <x:v>36</x:v>
      </x:c>
      <x:c r="F54" s="17" t="n">
        <x:f>SUMIFS('Bookings'!$D$6:$D$753,'Bookings'!$B$6:$B$753,A54)</x:f>
        <x:v>11</x:v>
      </x:c>
      <x:c r="G54" s="15" t="n">
        <x:v>28</x:v>
      </x:c>
      <x:c r="H54" s="15" t="n">
        <x:v>31</x:v>
      </x:c>
      <x:c r="I54" s="16" t="n">
        <x:v>1050</x:v>
      </x:c>
      <x:c r="J54" s="16" t="n">
        <x:v>1420</x:v>
      </x:c>
      <x:c r="K54" s="16" t="n">
        <x:v>126</x:v>
      </x:c>
      <x:c r="L54" s="15" t="n">
        <x:v>18</x:v>
      </x:c>
      <x:c r="M54" s="15" t="n">
        <x:v>10</x:v>
      </x:c>
      <x:c r="N54" s="2" t="n">
        <x:f>MAX(F54,ROUND(G54*(1+$B$5),0))</x:f>
        <x:v>28</x:v>
      </x:c>
      <x:c r="O54" s="2" t="n">
        <x:f>D54-$B$3</x:f>
        <x:v>100</x:v>
      </x:c>
      <x:c r="P54" s="6" t="n">
        <x:f>F54/E54</x:f>
        <x:v>0.3055555555555556</x:v>
      </x:c>
      <x:c r="Q54" s="14" t="n">
        <x:f>(E54-F54)*I54</x:f>
        <x:v>26250</x:v>
      </x:c>
      <x:c r="R54" s="2" t="n">
        <x:f>IF(O54&lt;0,0,MAX(0,MIN(L54,E54-MAX(F54,M54,N54+$B$4))))</x:f>
        <x:v>6</x:v>
      </x:c>
      <x:c r="S54" s="2" t="n">
        <x:f>E54-R54</x:f>
        <x:v>30</x:v>
      </x:c>
      <x:c r="T54" s="2" t="n">
        <x:f>MIN(N54,S54)</x:f>
        <x:v>28</x:v>
      </x:c>
      <x:c r="U54" s="14" t="n">
        <x:f>T54*J54-S54*I54-R54*K54</x:f>
        <x:v>7504</x:v>
      </x:c>
      <x:c r="V54" s="14" t="n">
        <x:f>U54-(MIN(N54,E54)*J54-E54*I54)</x:f>
        <x:v>5544</x:v>
      </x:c>
      <x:c r="W54" s="14" t="n">
        <x:f>H54*J54</x:f>
        <x:v>44020</x:v>
      </x:c>
      <x:c r="X54" s="14" t="n">
        <x:f>MIN(N54,E54)*J54</x:f>
        <x:v>39760</x:v>
      </x:c>
      <x:c r="Y54" s="14" t="n">
        <x:f>X54-W54</x:f>
        <x:v>-4260</x:v>
      </x:c>
      <x:c r="Z54" s="2" t="n">
        <x:v>11</x:v>
      </x:c>
      <x:c r="AA54" s="13" t="n">
        <x:v>46447</x:v>
      </x:c>
    </x:row>
    <x:row r="55" ht="22" customHeight="1">
      <x:c r="A55" s="2" t="str">
        <x:v>TC-06007</x:v>
      </x:c>
      <x:c r="B55" s="2" t="str">
        <x:v>MEL-SIN</x:v>
      </x:c>
      <x:c r="C55" s="12" t="n">
        <x:v>46467</x:v>
      </x:c>
      <x:c r="D55" s="12" t="n">
        <x:v>46422</x:v>
      </x:c>
      <x:c r="E55" s="15" t="n">
        <x:v>40</x:v>
      </x:c>
      <x:c r="F55" s="17" t="n">
        <x:f>SUMIFS('Bookings'!$D$6:$D$753,'Bookings'!$B$6:$B$753,A55)</x:f>
        <x:v>12</x:v>
      </x:c>
      <x:c r="G55" s="15" t="n">
        <x:v>37</x:v>
      </x:c>
      <x:c r="H55" s="15" t="n">
        <x:v>34</x:v>
      </x:c>
      <x:c r="I55" s="16" t="n">
        <x:v>1050</x:v>
      </x:c>
      <x:c r="J55" s="16" t="n">
        <x:v>1420</x:v>
      </x:c>
      <x:c r="K55" s="16" t="n">
        <x:v>126</x:v>
      </x:c>
      <x:c r="L55" s="15" t="n">
        <x:v>20</x:v>
      </x:c>
      <x:c r="M55" s="15" t="n">
        <x:v>10</x:v>
      </x:c>
      <x:c r="N55" s="2" t="n">
        <x:f>MAX(F55,ROUND(G55*(1+$B$5),0))</x:f>
        <x:v>37</x:v>
      </x:c>
      <x:c r="O55" s="2" t="n">
        <x:f>D55-$B$3</x:f>
        <x:v>118</x:v>
      </x:c>
      <x:c r="P55" s="6" t="n">
        <x:f>F55/E55</x:f>
        <x:v>0.3</x:v>
      </x:c>
      <x:c r="Q55" s="14" t="n">
        <x:f>(E55-F55)*I55</x:f>
        <x:v>29400</x:v>
      </x:c>
      <x:c r="R55" s="2" t="n">
        <x:f>IF(O55&lt;0,0,MAX(0,MIN(L55,E55-MAX(F55,M55,N55+$B$4))))</x:f>
        <x:v>1</x:v>
      </x:c>
      <x:c r="S55" s="2" t="n">
        <x:f>E55-R55</x:f>
        <x:v>39</x:v>
      </x:c>
      <x:c r="T55" s="2" t="n">
        <x:f>MIN(N55,S55)</x:f>
        <x:v>37</x:v>
      </x:c>
      <x:c r="U55" s="14" t="n">
        <x:f>T55*J55-S55*I55-R55*K55</x:f>
        <x:v>11464</x:v>
      </x:c>
      <x:c r="V55" s="14" t="n">
        <x:f>U55-(MIN(N55,E55)*J55-E55*I55)</x:f>
        <x:v>924</x:v>
      </x:c>
      <x:c r="W55" s="14" t="n">
        <x:f>H55*J55</x:f>
        <x:v>48280</x:v>
      </x:c>
      <x:c r="X55" s="14" t="n">
        <x:f>MIN(N55,E55)*J55</x:f>
        <x:v>52540</x:v>
      </x:c>
      <x:c r="Y55" s="14" t="n">
        <x:f>X55-W55</x:f>
        <x:v>4260</x:v>
      </x:c>
      <x:c r="Z55" s="2" t="n">
        <x:v>10</x:v>
      </x:c>
      <x:c r="AA55" s="13" t="n">
        <x:v>46447</x:v>
      </x:c>
    </x:row>
    <x:row r="56" ht="22" customHeight="1">
      <x:c r="A56" s="2" t="str">
        <x:v>TC-06008</x:v>
      </x:c>
      <x:c r="B56" s="2" t="str">
        <x:v>MEL-SIN</x:v>
      </x:c>
      <x:c r="C56" s="12" t="n">
        <x:v>46485</x:v>
      </x:c>
      <x:c r="D56" s="12" t="n">
        <x:v>46440</x:v>
      </x:c>
      <x:c r="E56" s="15" t="n">
        <x:v>28</x:v>
      </x:c>
      <x:c r="F56" s="17" t="n">
        <x:f>SUMIFS('Bookings'!$D$6:$D$753,'Bookings'!$B$6:$B$753,A56)</x:f>
        <x:v>6</x:v>
      </x:c>
      <x:c r="G56" s="15" t="n">
        <x:v>23</x:v>
      </x:c>
      <x:c r="H56" s="15" t="n">
        <x:v>24</x:v>
      </x:c>
      <x:c r="I56" s="16" t="n">
        <x:v>1050</x:v>
      </x:c>
      <x:c r="J56" s="16" t="n">
        <x:v>1420</x:v>
      </x:c>
      <x:c r="K56" s="16" t="n">
        <x:v>126</x:v>
      </x:c>
      <x:c r="L56" s="15" t="n">
        <x:v>14</x:v>
      </x:c>
      <x:c r="M56" s="15" t="n">
        <x:v>10</x:v>
      </x:c>
      <x:c r="N56" s="2" t="n">
        <x:f>MAX(F56,ROUND(G56*(1+$B$5),0))</x:f>
        <x:v>23</x:v>
      </x:c>
      <x:c r="O56" s="2" t="n">
        <x:f>D56-$B$3</x:f>
        <x:v>136</x:v>
      </x:c>
      <x:c r="P56" s="6" t="n">
        <x:f>F56/E56</x:f>
        <x:v>0.21428571428571427</x:v>
      </x:c>
      <x:c r="Q56" s="14" t="n">
        <x:f>(E56-F56)*I56</x:f>
        <x:v>23100</x:v>
      </x:c>
      <x:c r="R56" s="2" t="n">
        <x:f>IF(O56&lt;0,0,MAX(0,MIN(L56,E56-MAX(F56,M56,N56+$B$4))))</x:f>
        <x:v>3</x:v>
      </x:c>
      <x:c r="S56" s="2" t="n">
        <x:f>E56-R56</x:f>
        <x:v>25</x:v>
      </x:c>
      <x:c r="T56" s="2" t="n">
        <x:f>MIN(N56,S56)</x:f>
        <x:v>23</x:v>
      </x:c>
      <x:c r="U56" s="14" t="n">
        <x:f>T56*J56-S56*I56-R56*K56</x:f>
        <x:v>6032</x:v>
      </x:c>
      <x:c r="V56" s="14" t="n">
        <x:f>U56-(MIN(N56,E56)*J56-E56*I56)</x:f>
        <x:v>2772</x:v>
      </x:c>
      <x:c r="W56" s="14" t="n">
        <x:f>H56*J56</x:f>
        <x:v>34080</x:v>
      </x:c>
      <x:c r="X56" s="14" t="n">
        <x:f>MIN(N56,E56)*J56</x:f>
        <x:v>32660</x:v>
      </x:c>
      <x:c r="Y56" s="14" t="n">
        <x:f>X56-W56</x:f>
        <x:v>-1420</x:v>
      </x:c>
      <x:c r="Z56" s="2" t="n">
        <x:v>5</x:v>
      </x:c>
      <x:c r="AA56" s="13" t="n">
        <x:v>46478</x:v>
      </x:c>
    </x:row>
  </x:sheetData>
  <x:conditionalFormatting sqref="O9:O56">
    <x:cfRule type="cellIs" dxfId="0" priority="1" operator="lessThan">
      <x:formula>0</x:formula>
    </x:cfRule>
  </x:conditionalFormatting>
  <x:conditionalFormatting sqref="Y9:Y56">
    <x:cfRule type="cellIs" dxfId="1" priority="2" operator="lessThan">
      <x:formula>0</x:formula>
    </x:cfRule>
  </x:conditionalFormatting>
  <x:dataValidations count="2">
    <x:dataValidation type="whole" operator="between" sqref="B4">
      <x:formula1>0</x:formula1>
      <x:formula2>8</x:formula2>
    </x:dataValidation>
    <x:dataValidation type="decimal" operator="between" sqref="B5">
      <x:formula1>-0.35</x:formula1>
      <x:formula2>0.35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6170e9f408545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32" customHeight="1">
      <x:c r="A2" s="4" t="str">
        <x:v>Real route passenger observations</x:v>
      </x:c>
      <x:c r="B2" s="4"/>
      <x:c r="C2" s="4"/>
      <x:c r="D2" s="4"/>
      <x:c r="E2" s="4"/>
      <x:c r="F2" s="4"/>
    </x:row>
    <x:row r="3" ht="22" customHeight="1">
      <x:c r="A3" s="2" t="str">
        <x:v>Source: BITRE international airline activity, release 18 Sep 2026. https://www.bitre.gov.au/resource/aviation/international-airline-activity-time-series-data</x:v>
      </x:c>
      <x:c r="B3" s="2"/>
      <x:c r="C3" s="2"/>
      <x:c r="D3" s="2"/>
      <x:c r="E3" s="2"/>
      <x:c r="F3" s="2"/>
    </x:row>
    <x:row r="4" ht="22" customHeight="1">
      <x:c r="A4" s="2" t="str">
        <x:v>Revenue passenger movements; uplift/discharge city pairs, all carriers. Outbound is not tourism-only demand.</x:v>
      </x:c>
      <x:c r="B4" s="2"/>
      <x:c r="C4" s="2"/>
      <x:c r="D4" s="2"/>
      <x:c r="E4" s="2"/>
      <x:c r="F4" s="2"/>
    </x:row>
    <x:row r="5" ht="30" customHeight="1">
      <x:c r="A5" s="21" t="str">
        <x:v>Route</x:v>
      </x:c>
      <x:c r="B5" s="21" t="str">
        <x:v>Month</x:v>
      </x:c>
      <x:c r="C5" s="21" t="str">
        <x:v>Inbound pax</x:v>
      </x:c>
      <x:c r="D5" s="21" t="str">
        <x:v>Outbound pax</x:v>
      </x:c>
      <x:c r="E5" s="21" t="str">
        <x:v>Total pax</x:v>
      </x:c>
      <x:c r="F5" s="21" t="str">
        <x:v>Provenance</x:v>
      </x:c>
    </x:row>
    <x:row r="6" ht="22" customHeight="1">
      <x:c r="A6" s="2" t="str">
        <x:v>BNE-AKL</x:v>
      </x:c>
      <x:c r="B6" s="13" t="n">
        <x:v>44927</x:v>
      </x:c>
      <x:c r="C6" s="22" t="n">
        <x:v>30250</x:v>
      </x:c>
      <x:c r="D6" s="22" t="n">
        <x:v>26291</x:v>
      </x:c>
      <x:c r="E6" s="22" t="n">
        <x:v>56541</x:v>
      </x:c>
      <x:c r="F6" s="2" t="str">
        <x:v>BITRE actual</x:v>
      </x:c>
    </x:row>
    <x:row r="7" ht="22" customHeight="1">
      <x:c r="A7" s="2" t="str">
        <x:v>BNE-TYO</x:v>
      </x:c>
      <x:c r="B7" s="13" t="n">
        <x:v>44927</x:v>
      </x:c>
      <x:c r="C7" s="22" t="n">
        <x:v>3629</x:v>
      </x:c>
      <x:c r="D7" s="22" t="n">
        <x:v>2770</x:v>
      </x:c>
      <x:c r="E7" s="22" t="n">
        <x:v>6399</x:v>
      </x:c>
      <x:c r="F7" s="2" t="str">
        <x:v>BITRE actual</x:v>
      </x:c>
    </x:row>
    <x:row r="8" ht="22" customHeight="1">
      <x:c r="A8" s="2" t="str">
        <x:v>MEL-SGN</x:v>
      </x:c>
      <x:c r="B8" s="13" t="n">
        <x:v>44927</x:v>
      </x:c>
      <x:c r="C8" s="22" t="n">
        <x:v>16375</x:v>
      </x:c>
      <x:c r="D8" s="22" t="n">
        <x:v>14462</x:v>
      </x:c>
      <x:c r="E8" s="22" t="n">
        <x:v>30837</x:v>
      </x:c>
      <x:c r="F8" s="2" t="str">
        <x:v>BITRE actual</x:v>
      </x:c>
    </x:row>
    <x:row r="9" ht="22" customHeight="1">
      <x:c r="A9" s="2" t="str">
        <x:v>MEL-SIN</x:v>
      </x:c>
      <x:c r="B9" s="13" t="n">
        <x:v>44927</x:v>
      </x:c>
      <x:c r="C9" s="22" t="n">
        <x:v>71299</x:v>
      </x:c>
      <x:c r="D9" s="22" t="n">
        <x:v>64801</x:v>
      </x:c>
      <x:c r="E9" s="22" t="n">
        <x:v>136100</x:v>
      </x:c>
      <x:c r="F9" s="2" t="str">
        <x:v>BITRE actual</x:v>
      </x:c>
    </x:row>
    <x:row r="10" ht="22" customHeight="1">
      <x:c r="A10" s="2" t="str">
        <x:v>SYD-SEL</x:v>
      </x:c>
      <x:c r="B10" s="13" t="n">
        <x:v>44927</x:v>
      </x:c>
      <x:c r="C10" s="22" t="n">
        <x:v>34252</x:v>
      </x:c>
      <x:c r="D10" s="22" t="n">
        <x:v>27119</x:v>
      </x:c>
      <x:c r="E10" s="22" t="n">
        <x:v>61371</x:v>
      </x:c>
      <x:c r="F10" s="2" t="str">
        <x:v>BITRE actual</x:v>
      </x:c>
    </x:row>
    <x:row r="11" ht="22" customHeight="1">
      <x:c r="A11" s="2" t="str">
        <x:v>SYD-TYO</x:v>
      </x:c>
      <x:c r="B11" s="13" t="n">
        <x:v>44927</x:v>
      </x:c>
      <x:c r="C11" s="22" t="n">
        <x:v>22952</x:v>
      </x:c>
      <x:c r="D11" s="22" t="n">
        <x:v>19929</x:v>
      </x:c>
      <x:c r="E11" s="22" t="n">
        <x:v>42881</x:v>
      </x:c>
      <x:c r="F11" s="2" t="str">
        <x:v>BITRE actual</x:v>
      </x:c>
    </x:row>
    <x:row r="12" ht="22" customHeight="1">
      <x:c r="A12" s="2" t="str">
        <x:v>BNE-AKL</x:v>
      </x:c>
      <x:c r="B12" s="13" t="n">
        <x:v>44958</x:v>
      </x:c>
      <x:c r="C12" s="22" t="n">
        <x:v>21892</x:v>
      </x:c>
      <x:c r="D12" s="22" t="n">
        <x:v>21581</x:v>
      </x:c>
      <x:c r="E12" s="22" t="n">
        <x:v>43473</x:v>
      </x:c>
      <x:c r="F12" s="2" t="str">
        <x:v>BITRE actual</x:v>
      </x:c>
    </x:row>
    <x:row r="13" ht="22" customHeight="1">
      <x:c r="A13" s="2" t="str">
        <x:v>BNE-TYO</x:v>
      </x:c>
      <x:c r="B13" s="13" t="n">
        <x:v>44958</x:v>
      </x:c>
      <x:c r="C13" s="22" t="n">
        <x:v>3355</x:v>
      </x:c>
      <x:c r="D13" s="22" t="n">
        <x:v>2668</x:v>
      </x:c>
      <x:c r="E13" s="22" t="n">
        <x:v>6023</x:v>
      </x:c>
      <x:c r="F13" s="2" t="str">
        <x:v>BITRE actual</x:v>
      </x:c>
    </x:row>
    <x:row r="14" ht="22" customHeight="1">
      <x:c r="A14" s="2" t="str">
        <x:v>MEL-SGN</x:v>
      </x:c>
      <x:c r="B14" s="13" t="n">
        <x:v>44958</x:v>
      </x:c>
      <x:c r="C14" s="22" t="n">
        <x:v>12449</x:v>
      </x:c>
      <x:c r="D14" s="22" t="n">
        <x:v>9190</x:v>
      </x:c>
      <x:c r="E14" s="22" t="n">
        <x:v>21639</x:v>
      </x:c>
      <x:c r="F14" s="2" t="str">
        <x:v>BITRE actual</x:v>
      </x:c>
    </x:row>
    <x:row r="15" ht="22" customHeight="1">
      <x:c r="A15" s="2" t="str">
        <x:v>MEL-SIN</x:v>
      </x:c>
      <x:c r="B15" s="13" t="n">
        <x:v>44958</x:v>
      </x:c>
      <x:c r="C15" s="22" t="n">
        <x:v>63359</x:v>
      </x:c>
      <x:c r="D15" s="22" t="n">
        <x:v>49917</x:v>
      </x:c>
      <x:c r="E15" s="22" t="n">
        <x:v>113276</x:v>
      </x:c>
      <x:c r="F15" s="2" t="str">
        <x:v>BITRE actual</x:v>
      </x:c>
    </x:row>
    <x:row r="16" ht="22" customHeight="1">
      <x:c r="A16" s="2" t="str">
        <x:v>SYD-SEL</x:v>
      </x:c>
      <x:c r="B16" s="13" t="n">
        <x:v>44958</x:v>
      </x:c>
      <x:c r="C16" s="22" t="n">
        <x:v>30974</x:v>
      </x:c>
      <x:c r="D16" s="22" t="n">
        <x:v>23016</x:v>
      </x:c>
      <x:c r="E16" s="22" t="n">
        <x:v>53990</x:v>
      </x:c>
      <x:c r="F16" s="2" t="str">
        <x:v>BITRE actual</x:v>
      </x:c>
    </x:row>
    <x:row r="17" ht="22" customHeight="1">
      <x:c r="A17" s="2" t="str">
        <x:v>SYD-TYO</x:v>
      </x:c>
      <x:c r="B17" s="13" t="n">
        <x:v>44958</x:v>
      </x:c>
      <x:c r="C17" s="22" t="n">
        <x:v>21615</x:v>
      </x:c>
      <x:c r="D17" s="22" t="n">
        <x:v>17606</x:v>
      </x:c>
      <x:c r="E17" s="22" t="n">
        <x:v>39221</x:v>
      </x:c>
      <x:c r="F17" s="2" t="str">
        <x:v>BITRE actual</x:v>
      </x:c>
    </x:row>
    <x:row r="18" ht="22" customHeight="1">
      <x:c r="A18" s="2" t="str">
        <x:v>BNE-AKL</x:v>
      </x:c>
      <x:c r="B18" s="13" t="n">
        <x:v>44986</x:v>
      </x:c>
      <x:c r="C18" s="22" t="n">
        <x:v>28256</x:v>
      </x:c>
      <x:c r="D18" s="22" t="n">
        <x:v>26439</x:v>
      </x:c>
      <x:c r="E18" s="22" t="n">
        <x:v>54695</x:v>
      </x:c>
      <x:c r="F18" s="2" t="str">
        <x:v>BITRE actual</x:v>
      </x:c>
    </x:row>
    <x:row r="19" ht="22" customHeight="1">
      <x:c r="A19" s="2" t="str">
        <x:v>BNE-TYO</x:v>
      </x:c>
      <x:c r="B19" s="13" t="n">
        <x:v>44986</x:v>
      </x:c>
      <x:c r="C19" s="22" t="n">
        <x:v>3230</x:v>
      </x:c>
      <x:c r="D19" s="22" t="n">
        <x:v>3491</x:v>
      </x:c>
      <x:c r="E19" s="22" t="n">
        <x:v>6721</x:v>
      </x:c>
      <x:c r="F19" s="2" t="str">
        <x:v>BITRE actual</x:v>
      </x:c>
    </x:row>
    <x:row r="20" ht="22" customHeight="1">
      <x:c r="A20" s="2" t="str">
        <x:v>MEL-SGN</x:v>
      </x:c>
      <x:c r="B20" s="13" t="n">
        <x:v>44986</x:v>
      </x:c>
      <x:c r="C20" s="22" t="n">
        <x:v>12744</x:v>
      </x:c>
      <x:c r="D20" s="22" t="n">
        <x:v>11717</x:v>
      </x:c>
      <x:c r="E20" s="22" t="n">
        <x:v>24461</x:v>
      </x:c>
      <x:c r="F20" s="2" t="str">
        <x:v>BITRE actual</x:v>
      </x:c>
    </x:row>
    <x:row r="21" ht="22" customHeight="1">
      <x:c r="A21" s="2" t="str">
        <x:v>MEL-SIN</x:v>
      </x:c>
      <x:c r="B21" s="13" t="n">
        <x:v>44986</x:v>
      </x:c>
      <x:c r="C21" s="22" t="n">
        <x:v>64955</x:v>
      </x:c>
      <x:c r="D21" s="22" t="n">
        <x:v>60612</x:v>
      </x:c>
      <x:c r="E21" s="22" t="n">
        <x:v>125567</x:v>
      </x:c>
      <x:c r="F21" s="2" t="str">
        <x:v>BITRE actual</x:v>
      </x:c>
    </x:row>
    <x:row r="22" ht="22" customHeight="1">
      <x:c r="A22" s="2" t="str">
        <x:v>SYD-SEL</x:v>
      </x:c>
      <x:c r="B22" s="13" t="n">
        <x:v>44986</x:v>
      </x:c>
      <x:c r="C22" s="22" t="n">
        <x:v>24615</x:v>
      </x:c>
      <x:c r="D22" s="22" t="n">
        <x:v>28271</x:v>
      </x:c>
      <x:c r="E22" s="22" t="n">
        <x:v>52886</x:v>
      </x:c>
      <x:c r="F22" s="2" t="str">
        <x:v>BITRE actual</x:v>
      </x:c>
    </x:row>
    <x:row r="23" ht="22" customHeight="1">
      <x:c r="A23" s="2" t="str">
        <x:v>SYD-TYO</x:v>
      </x:c>
      <x:c r="B23" s="13" t="n">
        <x:v>44986</x:v>
      </x:c>
      <x:c r="C23" s="22" t="n">
        <x:v>19382</x:v>
      </x:c>
      <x:c r="D23" s="22" t="n">
        <x:v>23424</x:v>
      </x:c>
      <x:c r="E23" s="22" t="n">
        <x:v>42806</x:v>
      </x:c>
      <x:c r="F23" s="2" t="str">
        <x:v>BITRE actual</x:v>
      </x:c>
    </x:row>
    <x:row r="24" ht="22" customHeight="1">
      <x:c r="A24" s="2" t="str">
        <x:v>BNE-AKL</x:v>
      </x:c>
      <x:c r="B24" s="13" t="n">
        <x:v>45017</x:v>
      </x:c>
      <x:c r="C24" s="22" t="n">
        <x:v>30967</x:v>
      </x:c>
      <x:c r="D24" s="22" t="n">
        <x:v>29369</x:v>
      </x:c>
      <x:c r="E24" s="22" t="n">
        <x:v>60336</x:v>
      </x:c>
      <x:c r="F24" s="2" t="str">
        <x:v>BITRE actual</x:v>
      </x:c>
    </x:row>
    <x:row r="25" ht="22" customHeight="1">
      <x:c r="A25" s="2" t="str">
        <x:v>BNE-TYO</x:v>
      </x:c>
      <x:c r="B25" s="13" t="n">
        <x:v>45017</x:v>
      </x:c>
      <x:c r="C25" s="22" t="n">
        <x:v>3161</x:v>
      </x:c>
      <x:c r="D25" s="22" t="n">
        <x:v>2951</x:v>
      </x:c>
      <x:c r="E25" s="22" t="n">
        <x:v>6112</x:v>
      </x:c>
      <x:c r="F25" s="2" t="str">
        <x:v>BITRE actual</x:v>
      </x:c>
    </x:row>
    <x:row r="26" ht="22" customHeight="1">
      <x:c r="A26" s="2" t="str">
        <x:v>MEL-SGN</x:v>
      </x:c>
      <x:c r="B26" s="13" t="n">
        <x:v>45017</x:v>
      </x:c>
      <x:c r="C26" s="22" t="n">
        <x:v>16438</x:v>
      </x:c>
      <x:c r="D26" s="22" t="n">
        <x:v>14922</x:v>
      </x:c>
      <x:c r="E26" s="22" t="n">
        <x:v>31360</x:v>
      </x:c>
      <x:c r="F26" s="2" t="str">
        <x:v>BITRE actual</x:v>
      </x:c>
    </x:row>
    <x:row r="27" ht="22" customHeight="1">
      <x:c r="A27" s="2" t="str">
        <x:v>MEL-SIN</x:v>
      </x:c>
      <x:c r="B27" s="13" t="n">
        <x:v>45017</x:v>
      </x:c>
      <x:c r="C27" s="22" t="n">
        <x:v>62123</x:v>
      </x:c>
      <x:c r="D27" s="22" t="n">
        <x:v>63331</x:v>
      </x:c>
      <x:c r="E27" s="22" t="n">
        <x:v>125454</x:v>
      </x:c>
      <x:c r="F27" s="2" t="str">
        <x:v>BITRE actual</x:v>
      </x:c>
    </x:row>
    <x:row r="28" ht="22" customHeight="1">
      <x:c r="A28" s="2" t="str">
        <x:v>SYD-SEL</x:v>
      </x:c>
      <x:c r="B28" s="13" t="n">
        <x:v>45017</x:v>
      </x:c>
      <x:c r="C28" s="22" t="n">
        <x:v>25123</x:v>
      </x:c>
      <x:c r="D28" s="22" t="n">
        <x:v>25122</x:v>
      </x:c>
      <x:c r="E28" s="22" t="n">
        <x:v>50245</x:v>
      </x:c>
      <x:c r="F28" s="2" t="str">
        <x:v>BITRE actual</x:v>
      </x:c>
    </x:row>
    <x:row r="29" ht="22" customHeight="1">
      <x:c r="A29" s="2" t="str">
        <x:v>SYD-TYO</x:v>
      </x:c>
      <x:c r="B29" s="13" t="n">
        <x:v>45017</x:v>
      </x:c>
      <x:c r="C29" s="22" t="n">
        <x:v>21020</x:v>
      </x:c>
      <x:c r="D29" s="22" t="n">
        <x:v>20087</x:v>
      </x:c>
      <x:c r="E29" s="22" t="n">
        <x:v>41107</x:v>
      </x:c>
      <x:c r="F29" s="2" t="str">
        <x:v>BITRE actual</x:v>
      </x:c>
    </x:row>
    <x:row r="30" ht="22" customHeight="1">
      <x:c r="A30" s="2" t="str">
        <x:v>BNE-AKL</x:v>
      </x:c>
      <x:c r="B30" s="13" t="n">
        <x:v>45047</x:v>
      </x:c>
      <x:c r="C30" s="22" t="n">
        <x:v>30010</x:v>
      </x:c>
      <x:c r="D30" s="22" t="n">
        <x:v>28322</x:v>
      </x:c>
      <x:c r="E30" s="22" t="n">
        <x:v>58332</x:v>
      </x:c>
      <x:c r="F30" s="2" t="str">
        <x:v>BITRE actual</x:v>
      </x:c>
    </x:row>
    <x:row r="31" ht="22" customHeight="1">
      <x:c r="A31" s="2" t="str">
        <x:v>BNE-TYO</x:v>
      </x:c>
      <x:c r="B31" s="13" t="n">
        <x:v>45047</x:v>
      </x:c>
      <x:c r="C31" s="22" t="n">
        <x:v>2789</x:v>
      </x:c>
      <x:c r="D31" s="22" t="n">
        <x:v>2983</x:v>
      </x:c>
      <x:c r="E31" s="22" t="n">
        <x:v>5772</x:v>
      </x:c>
      <x:c r="F31" s="2" t="str">
        <x:v>BITRE actual</x:v>
      </x:c>
    </x:row>
    <x:row r="32" ht="22" customHeight="1">
      <x:c r="A32" s="2" t="str">
        <x:v>MEL-SGN</x:v>
      </x:c>
      <x:c r="B32" s="13" t="n">
        <x:v>45047</x:v>
      </x:c>
      <x:c r="C32" s="22" t="n">
        <x:v>15700</x:v>
      </x:c>
      <x:c r="D32" s="22" t="n">
        <x:v>15973</x:v>
      </x:c>
      <x:c r="E32" s="22" t="n">
        <x:v>31673</x:v>
      </x:c>
      <x:c r="F32" s="2" t="str">
        <x:v>BITRE actual</x:v>
      </x:c>
    </x:row>
    <x:row r="33" ht="22" customHeight="1">
      <x:c r="A33" s="2" t="str">
        <x:v>MEL-SIN</x:v>
      </x:c>
      <x:c r="B33" s="13" t="n">
        <x:v>45047</x:v>
      </x:c>
      <x:c r="C33" s="22" t="n">
        <x:v>62911</x:v>
      </x:c>
      <x:c r="D33" s="22" t="n">
        <x:v>65586</x:v>
      </x:c>
      <x:c r="E33" s="22" t="n">
        <x:v>128497</x:v>
      </x:c>
      <x:c r="F33" s="2" t="str">
        <x:v>BITRE actual</x:v>
      </x:c>
    </x:row>
    <x:row r="34" ht="22" customHeight="1">
      <x:c r="A34" s="2" t="str">
        <x:v>SYD-SEL</x:v>
      </x:c>
      <x:c r="B34" s="13" t="n">
        <x:v>45047</x:v>
      </x:c>
      <x:c r="C34" s="22" t="n">
        <x:v>23350</x:v>
      </x:c>
      <x:c r="D34" s="22" t="n">
        <x:v>23082</x:v>
      </x:c>
      <x:c r="E34" s="22" t="n">
        <x:v>46432</x:v>
      </x:c>
      <x:c r="F34" s="2" t="str">
        <x:v>BITRE actual</x:v>
      </x:c>
    </x:row>
    <x:row r="35" ht="22" customHeight="1">
      <x:c r="A35" s="2" t="str">
        <x:v>SYD-TYO</x:v>
      </x:c>
      <x:c r="B35" s="13" t="n">
        <x:v>45047</x:v>
      </x:c>
      <x:c r="C35" s="22" t="n">
        <x:v>17393</x:v>
      </x:c>
      <x:c r="D35" s="22" t="n">
        <x:v>19218</x:v>
      </x:c>
      <x:c r="E35" s="22" t="n">
        <x:v>36611</x:v>
      </x:c>
      <x:c r="F35" s="2" t="str">
        <x:v>BITRE actual</x:v>
      </x:c>
    </x:row>
    <x:row r="36" ht="22" customHeight="1">
      <x:c r="A36" s="2" t="str">
        <x:v>BNE-AKL</x:v>
      </x:c>
      <x:c r="B36" s="13" t="n">
        <x:v>45078</x:v>
      </x:c>
      <x:c r="C36" s="22" t="n">
        <x:v>30169</x:v>
      </x:c>
      <x:c r="D36" s="22" t="n">
        <x:v>30323</x:v>
      </x:c>
      <x:c r="E36" s="22" t="n">
        <x:v>60492</x:v>
      </x:c>
      <x:c r="F36" s="2" t="str">
        <x:v>BITRE actual</x:v>
      </x:c>
    </x:row>
    <x:row r="37" ht="22" customHeight="1">
      <x:c r="A37" s="2" t="str">
        <x:v>BNE-TYO</x:v>
      </x:c>
      <x:c r="B37" s="13" t="n">
        <x:v>45078</x:v>
      </x:c>
      <x:c r="C37" s="22" t="n">
        <x:v>2841</x:v>
      </x:c>
      <x:c r="D37" s="22" t="n">
        <x:v>3229</x:v>
      </x:c>
      <x:c r="E37" s="22" t="n">
        <x:v>6070</x:v>
      </x:c>
      <x:c r="F37" s="2" t="str">
        <x:v>BITRE actual</x:v>
      </x:c>
    </x:row>
    <x:row r="38" ht="22" customHeight="1">
      <x:c r="A38" s="2" t="str">
        <x:v>MEL-SGN</x:v>
      </x:c>
      <x:c r="B38" s="13" t="n">
        <x:v>45078</x:v>
      </x:c>
      <x:c r="C38" s="22" t="n">
        <x:v>16489</x:v>
      </x:c>
      <x:c r="D38" s="22" t="n">
        <x:v>18540</x:v>
      </x:c>
      <x:c r="E38" s="22" t="n">
        <x:v>35029</x:v>
      </x:c>
      <x:c r="F38" s="2" t="str">
        <x:v>BITRE actual</x:v>
      </x:c>
    </x:row>
    <x:row r="39" ht="22" customHeight="1">
      <x:c r="A39" s="2" t="str">
        <x:v>MEL-SIN</x:v>
      </x:c>
      <x:c r="B39" s="13" t="n">
        <x:v>45078</x:v>
      </x:c>
      <x:c r="C39" s="22" t="n">
        <x:v>64403</x:v>
      </x:c>
      <x:c r="D39" s="22" t="n">
        <x:v>71904</x:v>
      </x:c>
      <x:c r="E39" s="22" t="n">
        <x:v>136307</x:v>
      </x:c>
      <x:c r="F39" s="2" t="str">
        <x:v>BITRE actual</x:v>
      </x:c>
    </x:row>
    <x:row r="40" ht="22" customHeight="1">
      <x:c r="A40" s="2" t="str">
        <x:v>SYD-SEL</x:v>
      </x:c>
      <x:c r="B40" s="13" t="n">
        <x:v>45078</x:v>
      </x:c>
      <x:c r="C40" s="22" t="n">
        <x:v>22839</x:v>
      </x:c>
      <x:c r="D40" s="22" t="n">
        <x:v>26230</x:v>
      </x:c>
      <x:c r="E40" s="22" t="n">
        <x:v>49069</x:v>
      </x:c>
      <x:c r="F40" s="2" t="str">
        <x:v>BITRE actual</x:v>
      </x:c>
    </x:row>
    <x:row r="41" ht="22" customHeight="1">
      <x:c r="A41" s="2" t="str">
        <x:v>SYD-TYO</x:v>
      </x:c>
      <x:c r="B41" s="13" t="n">
        <x:v>45078</x:v>
      </x:c>
      <x:c r="C41" s="22" t="n">
        <x:v>15748</x:v>
      </x:c>
      <x:c r="D41" s="22" t="n">
        <x:v>20681</x:v>
      </x:c>
      <x:c r="E41" s="22" t="n">
        <x:v>36429</x:v>
      </x:c>
      <x:c r="F41" s="2" t="str">
        <x:v>BITRE actual</x:v>
      </x:c>
    </x:row>
    <x:row r="42" ht="22" customHeight="1">
      <x:c r="A42" s="2" t="str">
        <x:v>BNE-AKL</x:v>
      </x:c>
      <x:c r="B42" s="13" t="n">
        <x:v>45108</x:v>
      </x:c>
      <x:c r="C42" s="22" t="n">
        <x:v>33515</x:v>
      </x:c>
      <x:c r="D42" s="22" t="n">
        <x:v>32675</x:v>
      </x:c>
      <x:c r="E42" s="22" t="n">
        <x:v>66190</x:v>
      </x:c>
      <x:c r="F42" s="2" t="str">
        <x:v>BITRE actual</x:v>
      </x:c>
    </x:row>
    <x:row r="43" ht="22" customHeight="1">
      <x:c r="A43" s="2" t="str">
        <x:v>BNE-TYO</x:v>
      </x:c>
      <x:c r="B43" s="13" t="n">
        <x:v>45108</x:v>
      </x:c>
      <x:c r="C43" s="22" t="n">
        <x:v>3629</x:v>
      </x:c>
      <x:c r="D43" s="22" t="n">
        <x:v>2333</x:v>
      </x:c>
      <x:c r="E43" s="22" t="n">
        <x:v>5962</x:v>
      </x:c>
      <x:c r="F43" s="2" t="str">
        <x:v>BITRE actual</x:v>
      </x:c>
    </x:row>
    <x:row r="44" ht="22" customHeight="1">
      <x:c r="A44" s="2" t="str">
        <x:v>MEL-SGN</x:v>
      </x:c>
      <x:c r="B44" s="13" t="n">
        <x:v>45108</x:v>
      </x:c>
      <x:c r="C44" s="22" t="n">
        <x:v>21633</x:v>
      </x:c>
      <x:c r="D44" s="22" t="n">
        <x:v>19172</x:v>
      </x:c>
      <x:c r="E44" s="22" t="n">
        <x:v>40805</x:v>
      </x:c>
      <x:c r="F44" s="2" t="str">
        <x:v>BITRE actual</x:v>
      </x:c>
    </x:row>
    <x:row r="45" ht="22" customHeight="1">
      <x:c r="A45" s="2" t="str">
        <x:v>MEL-SIN</x:v>
      </x:c>
      <x:c r="B45" s="13" t="n">
        <x:v>45108</x:v>
      </x:c>
      <x:c r="C45" s="22" t="n">
        <x:v>77423</x:v>
      </x:c>
      <x:c r="D45" s="22" t="n">
        <x:v>65093</x:v>
      </x:c>
      <x:c r="E45" s="22" t="n">
        <x:v>142516</x:v>
      </x:c>
      <x:c r="F45" s="2" t="str">
        <x:v>BITRE actual</x:v>
      </x:c>
    </x:row>
    <x:row r="46" ht="22" customHeight="1">
      <x:c r="A46" s="2" t="str">
        <x:v>SYD-SEL</x:v>
      </x:c>
      <x:c r="B46" s="13" t="n">
        <x:v>45108</x:v>
      </x:c>
      <x:c r="C46" s="22" t="n">
        <x:v>30003</x:v>
      </x:c>
      <x:c r="D46" s="22" t="n">
        <x:v>21539</x:v>
      </x:c>
      <x:c r="E46" s="22" t="n">
        <x:v>51542</x:v>
      </x:c>
      <x:c r="F46" s="2" t="str">
        <x:v>BITRE actual</x:v>
      </x:c>
    </x:row>
    <x:row r="47" ht="22" customHeight="1">
      <x:c r="A47" s="2" t="str">
        <x:v>SYD-TYO</x:v>
      </x:c>
      <x:c r="B47" s="13" t="n">
        <x:v>45108</x:v>
      </x:c>
      <x:c r="C47" s="22" t="n">
        <x:v>25116</x:v>
      </x:c>
      <x:c r="D47" s="22" t="n">
        <x:v>18024</x:v>
      </x:c>
      <x:c r="E47" s="22" t="n">
        <x:v>43140</x:v>
      </x:c>
      <x:c r="F47" s="2" t="str">
        <x:v>BITRE actual</x:v>
      </x:c>
    </x:row>
    <x:row r="48" ht="22" customHeight="1">
      <x:c r="A48" s="2" t="str">
        <x:v>BNE-AKL</x:v>
      </x:c>
      <x:c r="B48" s="13" t="n">
        <x:v>45139</x:v>
      </x:c>
      <x:c r="C48" s="22" t="n">
        <x:v>31974</x:v>
      </x:c>
      <x:c r="D48" s="22" t="n">
        <x:v>31612</x:v>
      </x:c>
      <x:c r="E48" s="22" t="n">
        <x:v>63586</x:v>
      </x:c>
      <x:c r="F48" s="2" t="str">
        <x:v>BITRE actual</x:v>
      </x:c>
    </x:row>
    <x:row r="49" ht="22" customHeight="1">
      <x:c r="A49" s="2" t="str">
        <x:v>BNE-TYO</x:v>
      </x:c>
      <x:c r="B49" s="13" t="n">
        <x:v>45139</x:v>
      </x:c>
      <x:c r="C49" s="22" t="n">
        <x:v>2982</x:v>
      </x:c>
      <x:c r="D49" s="22" t="n">
        <x:v>3391</x:v>
      </x:c>
      <x:c r="E49" s="22" t="n">
        <x:v>6373</x:v>
      </x:c>
      <x:c r="F49" s="2" t="str">
        <x:v>BITRE actual</x:v>
      </x:c>
    </x:row>
    <x:row r="50" ht="22" customHeight="1">
      <x:c r="A50" s="2" t="str">
        <x:v>MEL-SGN</x:v>
      </x:c>
      <x:c r="B50" s="13" t="n">
        <x:v>45139</x:v>
      </x:c>
      <x:c r="C50" s="22" t="n">
        <x:v>18157</x:v>
      </x:c>
      <x:c r="D50" s="22" t="n">
        <x:v>16141</x:v>
      </x:c>
      <x:c r="E50" s="22" t="n">
        <x:v>34298</x:v>
      </x:c>
      <x:c r="F50" s="2" t="str">
        <x:v>BITRE actual</x:v>
      </x:c>
    </x:row>
    <x:row r="51" ht="22" customHeight="1">
      <x:c r="A51" s="2" t="str">
        <x:v>MEL-SIN</x:v>
      </x:c>
      <x:c r="B51" s="13" t="n">
        <x:v>45139</x:v>
      </x:c>
      <x:c r="C51" s="22" t="n">
        <x:v>66313</x:v>
      </x:c>
      <x:c r="D51" s="22" t="n">
        <x:v>63887</x:v>
      </x:c>
      <x:c r="E51" s="22" t="n">
        <x:v>130200</x:v>
      </x:c>
      <x:c r="F51" s="2" t="str">
        <x:v>BITRE actual</x:v>
      </x:c>
    </x:row>
    <x:row r="52" ht="22" customHeight="1">
      <x:c r="A52" s="2" t="str">
        <x:v>SYD-SEL</x:v>
      </x:c>
      <x:c r="B52" s="13" t="n">
        <x:v>45139</x:v>
      </x:c>
      <x:c r="C52" s="22" t="n">
        <x:v>31168</x:v>
      </x:c>
      <x:c r="D52" s="22" t="n">
        <x:v>32407</x:v>
      </x:c>
      <x:c r="E52" s="22" t="n">
        <x:v>63575</x:v>
      </x:c>
      <x:c r="F52" s="2" t="str">
        <x:v>BITRE actual</x:v>
      </x:c>
    </x:row>
    <x:row r="53" ht="22" customHeight="1">
      <x:c r="A53" s="2" t="str">
        <x:v>SYD-TYO</x:v>
      </x:c>
      <x:c r="B53" s="13" t="n">
        <x:v>45139</x:v>
      </x:c>
      <x:c r="C53" s="22" t="n">
        <x:v>20798</x:v>
      </x:c>
      <x:c r="D53" s="22" t="n">
        <x:v>22352</x:v>
      </x:c>
      <x:c r="E53" s="22" t="n">
        <x:v>43150</x:v>
      </x:c>
      <x:c r="F53" s="2" t="str">
        <x:v>BITRE actual</x:v>
      </x:c>
    </x:row>
    <x:row r="54" ht="22" customHeight="1">
      <x:c r="A54" s="2" t="str">
        <x:v>BNE-AKL</x:v>
      </x:c>
      <x:c r="B54" s="13" t="n">
        <x:v>45170</x:v>
      </x:c>
      <x:c r="C54" s="22" t="n">
        <x:v>34607</x:v>
      </x:c>
      <x:c r="D54" s="22" t="n">
        <x:v>34952</x:v>
      </x:c>
      <x:c r="E54" s="22" t="n">
        <x:v>69559</x:v>
      </x:c>
      <x:c r="F54" s="2" t="str">
        <x:v>BITRE actual</x:v>
      </x:c>
    </x:row>
    <x:row r="55" ht="22" customHeight="1">
      <x:c r="A55" s="2" t="str">
        <x:v>BNE-TYO</x:v>
      </x:c>
      <x:c r="B55" s="13" t="n">
        <x:v>45170</x:v>
      </x:c>
      <x:c r="C55" s="22" t="n">
        <x:v>2827</x:v>
      </x:c>
      <x:c r="D55" s="22" t="n">
        <x:v>3447</x:v>
      </x:c>
      <x:c r="E55" s="22" t="n">
        <x:v>6274</x:v>
      </x:c>
      <x:c r="F55" s="2" t="str">
        <x:v>BITRE actual</x:v>
      </x:c>
    </x:row>
    <x:row r="56" ht="22" customHeight="1">
      <x:c r="A56" s="2" t="str">
        <x:v>MEL-SGN</x:v>
      </x:c>
      <x:c r="B56" s="13" t="n">
        <x:v>45170</x:v>
      </x:c>
      <x:c r="C56" s="22" t="n">
        <x:v>18638</x:v>
      </x:c>
      <x:c r="D56" s="22" t="n">
        <x:v>17805</x:v>
      </x:c>
      <x:c r="E56" s="22" t="n">
        <x:v>36443</x:v>
      </x:c>
      <x:c r="F56" s="2" t="str">
        <x:v>BITRE actual</x:v>
      </x:c>
    </x:row>
    <x:row r="57" ht="22" customHeight="1">
      <x:c r="A57" s="2" t="str">
        <x:v>MEL-SIN</x:v>
      </x:c>
      <x:c r="B57" s="13" t="n">
        <x:v>45170</x:v>
      </x:c>
      <x:c r="C57" s="22" t="n">
        <x:v>68813</x:v>
      </x:c>
      <x:c r="D57" s="22" t="n">
        <x:v>65173</x:v>
      </x:c>
      <x:c r="E57" s="22" t="n">
        <x:v>133986</x:v>
      </x:c>
      <x:c r="F57" s="2" t="str">
        <x:v>BITRE actual</x:v>
      </x:c>
    </x:row>
    <x:row r="58" ht="22" customHeight="1">
      <x:c r="A58" s="2" t="str">
        <x:v>SYD-SEL</x:v>
      </x:c>
      <x:c r="B58" s="13" t="n">
        <x:v>45170</x:v>
      </x:c>
      <x:c r="C58" s="22" t="n">
        <x:v>31384</x:v>
      </x:c>
      <x:c r="D58" s="22" t="n">
        <x:v>32054</x:v>
      </x:c>
      <x:c r="E58" s="22" t="n">
        <x:v>63438</x:v>
      </x:c>
      <x:c r="F58" s="2" t="str">
        <x:v>BITRE actual</x:v>
      </x:c>
    </x:row>
    <x:row r="59" ht="22" customHeight="1">
      <x:c r="A59" s="2" t="str">
        <x:v>SYD-TYO</x:v>
      </x:c>
      <x:c r="B59" s="13" t="n">
        <x:v>45170</x:v>
      </x:c>
      <x:c r="C59" s="22" t="n">
        <x:v>20160</x:v>
      </x:c>
      <x:c r="D59" s="22" t="n">
        <x:v>25138</x:v>
      </x:c>
      <x:c r="E59" s="22" t="n">
        <x:v>45298</x:v>
      </x:c>
      <x:c r="F59" s="2" t="str">
        <x:v>BITRE actual</x:v>
      </x:c>
    </x:row>
    <x:row r="60" ht="22" customHeight="1">
      <x:c r="A60" s="2" t="str">
        <x:v>BNE-AKL</x:v>
      </x:c>
      <x:c r="B60" s="13" t="n">
        <x:v>45200</x:v>
      </x:c>
      <x:c r="C60" s="22" t="n">
        <x:v>35097</x:v>
      </x:c>
      <x:c r="D60" s="22" t="n">
        <x:v>38799</x:v>
      </x:c>
      <x:c r="E60" s="22" t="n">
        <x:v>73896</x:v>
      </x:c>
      <x:c r="F60" s="2" t="str">
        <x:v>BITRE actual</x:v>
      </x:c>
    </x:row>
    <x:row r="61" ht="22" customHeight="1">
      <x:c r="A61" s="2" t="str">
        <x:v>BNE-TYO</x:v>
      </x:c>
      <x:c r="B61" s="13" t="n">
        <x:v>45200</x:v>
      </x:c>
      <x:c r="C61" s="22" t="n">
        <x:v>4185</x:v>
      </x:c>
      <x:c r="D61" s="22" t="n">
        <x:v>3303</x:v>
      </x:c>
      <x:c r="E61" s="22" t="n">
        <x:v>7488</x:v>
      </x:c>
      <x:c r="F61" s="2" t="str">
        <x:v>BITRE actual</x:v>
      </x:c>
    </x:row>
    <x:row r="62" ht="22" customHeight="1">
      <x:c r="A62" s="2" t="str">
        <x:v>MEL-SGN</x:v>
      </x:c>
      <x:c r="B62" s="13" t="n">
        <x:v>45200</x:v>
      </x:c>
      <x:c r="C62" s="22" t="n">
        <x:v>20321</x:v>
      </x:c>
      <x:c r="D62" s="22" t="n">
        <x:v>16660</x:v>
      </x:c>
      <x:c r="E62" s="22" t="n">
        <x:v>36981</x:v>
      </x:c>
      <x:c r="F62" s="2" t="str">
        <x:v>BITRE actual</x:v>
      </x:c>
    </x:row>
    <x:row r="63" ht="22" customHeight="1">
      <x:c r="A63" s="2" t="str">
        <x:v>MEL-SIN</x:v>
      </x:c>
      <x:c r="B63" s="13" t="n">
        <x:v>45200</x:v>
      </x:c>
      <x:c r="C63" s="22" t="n">
        <x:v>72998</x:v>
      </x:c>
      <x:c r="D63" s="22" t="n">
        <x:v>60408</x:v>
      </x:c>
      <x:c r="E63" s="22" t="n">
        <x:v>133406</x:v>
      </x:c>
      <x:c r="F63" s="2" t="str">
        <x:v>BITRE actual</x:v>
      </x:c>
    </x:row>
    <x:row r="64" ht="22" customHeight="1">
      <x:c r="A64" s="2" t="str">
        <x:v>SYD-SEL</x:v>
      </x:c>
      <x:c r="B64" s="13" t="n">
        <x:v>45200</x:v>
      </x:c>
      <x:c r="C64" s="22" t="n">
        <x:v>33534</x:v>
      </x:c>
      <x:c r="D64" s="22" t="n">
        <x:v>30112</x:v>
      </x:c>
      <x:c r="E64" s="22" t="n">
        <x:v>63646</x:v>
      </x:c>
      <x:c r="F64" s="2" t="str">
        <x:v>BITRE actual</x:v>
      </x:c>
    </x:row>
    <x:row r="65" ht="22" customHeight="1">
      <x:c r="A65" s="2" t="str">
        <x:v>SYD-TYO</x:v>
      </x:c>
      <x:c r="B65" s="13" t="n">
        <x:v>45200</x:v>
      </x:c>
      <x:c r="C65" s="22" t="n">
        <x:v>26818</x:v>
      </x:c>
      <x:c r="D65" s="22" t="n">
        <x:v>23824</x:v>
      </x:c>
      <x:c r="E65" s="22" t="n">
        <x:v>50642</x:v>
      </x:c>
      <x:c r="F65" s="2" t="str">
        <x:v>BITRE actual</x:v>
      </x:c>
    </x:row>
    <x:row r="66" ht="22" customHeight="1">
      <x:c r="A66" s="2" t="str">
        <x:v>BNE-AKL</x:v>
      </x:c>
      <x:c r="B66" s="13" t="n">
        <x:v>45231</x:v>
      </x:c>
      <x:c r="C66" s="22" t="n">
        <x:v>34238</x:v>
      </x:c>
      <x:c r="D66" s="22" t="n">
        <x:v>38292</x:v>
      </x:c>
      <x:c r="E66" s="22" t="n">
        <x:v>72530</x:v>
      </x:c>
      <x:c r="F66" s="2" t="str">
        <x:v>BITRE actual</x:v>
      </x:c>
    </x:row>
    <x:row r="67" ht="22" customHeight="1">
      <x:c r="A67" s="2" t="str">
        <x:v>BNE-TYO</x:v>
      </x:c>
      <x:c r="B67" s="13" t="n">
        <x:v>45231</x:v>
      </x:c>
      <x:c r="C67" s="22" t="n">
        <x:v>10264</x:v>
      </x:c>
      <x:c r="D67" s="22" t="n">
        <x:v>10666</x:v>
      </x:c>
      <x:c r="E67" s="22" t="n">
        <x:v>20930</x:v>
      </x:c>
      <x:c r="F67" s="2" t="str">
        <x:v>BITRE actual</x:v>
      </x:c>
    </x:row>
    <x:row r="68" ht="22" customHeight="1">
      <x:c r="A68" s="2" t="str">
        <x:v>MEL-SGN</x:v>
      </x:c>
      <x:c r="B68" s="13" t="n">
        <x:v>45231</x:v>
      </x:c>
      <x:c r="C68" s="22" t="n">
        <x:v>16740</x:v>
      </x:c>
      <x:c r="D68" s="22" t="n">
        <x:v>18248</x:v>
      </x:c>
      <x:c r="E68" s="22" t="n">
        <x:v>34988</x:v>
      </x:c>
      <x:c r="F68" s="2" t="str">
        <x:v>BITRE actual</x:v>
      </x:c>
    </x:row>
    <x:row r="69" ht="22" customHeight="1">
      <x:c r="A69" s="2" t="str">
        <x:v>MEL-SIN</x:v>
      </x:c>
      <x:c r="B69" s="13" t="n">
        <x:v>45231</x:v>
      </x:c>
      <x:c r="C69" s="22" t="n">
        <x:v>70601</x:v>
      </x:c>
      <x:c r="D69" s="22" t="n">
        <x:v>69893</x:v>
      </x:c>
      <x:c r="E69" s="22" t="n">
        <x:v>140494</x:v>
      </x:c>
      <x:c r="F69" s="2" t="str">
        <x:v>BITRE actual</x:v>
      </x:c>
    </x:row>
    <x:row r="70" ht="22" customHeight="1">
      <x:c r="A70" s="2" t="str">
        <x:v>SYD-SEL</x:v>
      </x:c>
      <x:c r="B70" s="13" t="n">
        <x:v>45231</x:v>
      </x:c>
      <x:c r="C70" s="22" t="n">
        <x:v>33706</x:v>
      </x:c>
      <x:c r="D70" s="22" t="n">
        <x:v>33689</x:v>
      </x:c>
      <x:c r="E70" s="22" t="n">
        <x:v>67395</x:v>
      </x:c>
      <x:c r="F70" s="2" t="str">
        <x:v>BITRE actual</x:v>
      </x:c>
    </x:row>
    <x:row r="71" ht="22" customHeight="1">
      <x:c r="A71" s="2" t="str">
        <x:v>SYD-TYO</x:v>
      </x:c>
      <x:c r="B71" s="13" t="n">
        <x:v>45231</x:v>
      </x:c>
      <x:c r="C71" s="22" t="n">
        <x:v>24297</x:v>
      </x:c>
      <x:c r="D71" s="22" t="n">
        <x:v>25223</x:v>
      </x:c>
      <x:c r="E71" s="22" t="n">
        <x:v>49520</x:v>
      </x:c>
      <x:c r="F71" s="2" t="str">
        <x:v>BITRE actual</x:v>
      </x:c>
    </x:row>
    <x:row r="72" ht="22" customHeight="1">
      <x:c r="A72" s="2" t="str">
        <x:v>BNE-AKL</x:v>
      </x:c>
      <x:c r="B72" s="13" t="n">
        <x:v>45261</x:v>
      </x:c>
      <x:c r="C72" s="22" t="n">
        <x:v>37346</x:v>
      </x:c>
      <x:c r="D72" s="22" t="n">
        <x:v>40205</x:v>
      </x:c>
      <x:c r="E72" s="22" t="n">
        <x:v>77551</x:v>
      </x:c>
      <x:c r="F72" s="2" t="str">
        <x:v>BITRE actual</x:v>
      </x:c>
    </x:row>
    <x:row r="73" ht="22" customHeight="1">
      <x:c r="A73" s="2" t="str">
        <x:v>BNE-TYO</x:v>
      </x:c>
      <x:c r="B73" s="13" t="n">
        <x:v>45261</x:v>
      </x:c>
      <x:c r="C73" s="22" t="n">
        <x:v>15426</x:v>
      </x:c>
      <x:c r="D73" s="22" t="n">
        <x:v>18016</x:v>
      </x:c>
      <x:c r="E73" s="22" t="n">
        <x:v>33442</x:v>
      </x:c>
      <x:c r="F73" s="2" t="str">
        <x:v>BITRE actual</x:v>
      </x:c>
    </x:row>
    <x:row r="74" ht="22" customHeight="1">
      <x:c r="A74" s="2" t="str">
        <x:v>MEL-SGN</x:v>
      </x:c>
      <x:c r="B74" s="13" t="n">
        <x:v>45261</x:v>
      </x:c>
      <x:c r="C74" s="22" t="n">
        <x:v>22352</x:v>
      </x:c>
      <x:c r="D74" s="22" t="n">
        <x:v>20855</x:v>
      </x:c>
      <x:c r="E74" s="22" t="n">
        <x:v>43207</x:v>
      </x:c>
      <x:c r="F74" s="2" t="str">
        <x:v>BITRE actual</x:v>
      </x:c>
    </x:row>
    <x:row r="75" ht="22" customHeight="1">
      <x:c r="A75" s="2" t="str">
        <x:v>MEL-SIN</x:v>
      </x:c>
      <x:c r="B75" s="13" t="n">
        <x:v>45261</x:v>
      </x:c>
      <x:c r="C75" s="22" t="n">
        <x:v>71702</x:v>
      </x:c>
      <x:c r="D75" s="22" t="n">
        <x:v>84510</x:v>
      </x:c>
      <x:c r="E75" s="22" t="n">
        <x:v>156212</x:v>
      </x:c>
      <x:c r="F75" s="2" t="str">
        <x:v>BITRE actual</x:v>
      </x:c>
    </x:row>
    <x:row r="76" ht="22" customHeight="1">
      <x:c r="A76" s="2" t="str">
        <x:v>SYD-SEL</x:v>
      </x:c>
      <x:c r="B76" s="13" t="n">
        <x:v>45261</x:v>
      </x:c>
      <x:c r="C76" s="22" t="n">
        <x:v>33540</x:v>
      </x:c>
      <x:c r="D76" s="22" t="n">
        <x:v>39109</x:v>
      </x:c>
      <x:c r="E76" s="22" t="n">
        <x:v>72649</x:v>
      </x:c>
      <x:c r="F76" s="2" t="str">
        <x:v>BITRE actual</x:v>
      </x:c>
    </x:row>
    <x:row r="77" ht="22" customHeight="1">
      <x:c r="A77" s="2" t="str">
        <x:v>SYD-TYO</x:v>
      </x:c>
      <x:c r="B77" s="13" t="n">
        <x:v>45261</x:v>
      </x:c>
      <x:c r="C77" s="22" t="n">
        <x:v>25948</x:v>
      </x:c>
      <x:c r="D77" s="22" t="n">
        <x:v>33580</x:v>
      </x:c>
      <x:c r="E77" s="22" t="n">
        <x:v>59528</x:v>
      </x:c>
      <x:c r="F77" s="2" t="str">
        <x:v>BITRE actual</x:v>
      </x:c>
    </x:row>
    <x:row r="78" ht="22" customHeight="1">
      <x:c r="A78" s="2" t="str">
        <x:v>BNE-AKL</x:v>
      </x:c>
      <x:c r="B78" s="13" t="n">
        <x:v>45292</x:v>
      </x:c>
      <x:c r="C78" s="22" t="n">
        <x:v>39726</x:v>
      </x:c>
      <x:c r="D78" s="22" t="n">
        <x:v>38086</x:v>
      </x:c>
      <x:c r="E78" s="22" t="n">
        <x:v>77812</x:v>
      </x:c>
      <x:c r="F78" s="2" t="str">
        <x:v>BITRE actual</x:v>
      </x:c>
    </x:row>
    <x:row r="79" ht="22" customHeight="1">
      <x:c r="A79" s="2" t="str">
        <x:v>BNE-TYO</x:v>
      </x:c>
      <x:c r="B79" s="13" t="n">
        <x:v>45292</x:v>
      </x:c>
      <x:c r="C79" s="22" t="n">
        <x:v>17612</x:v>
      </x:c>
      <x:c r="D79" s="22" t="n">
        <x:v>15715</x:v>
      </x:c>
      <x:c r="E79" s="22" t="n">
        <x:v>33327</x:v>
      </x:c>
      <x:c r="F79" s="2" t="str">
        <x:v>BITRE actual</x:v>
      </x:c>
    </x:row>
    <x:row r="80" ht="22" customHeight="1">
      <x:c r="A80" s="2" t="str">
        <x:v>MEL-SGN</x:v>
      </x:c>
      <x:c r="B80" s="13" t="n">
        <x:v>45292</x:v>
      </x:c>
      <x:c r="C80" s="22" t="n">
        <x:v>24661</x:v>
      </x:c>
      <x:c r="D80" s="22" t="n">
        <x:v>19292</x:v>
      </x:c>
      <x:c r="E80" s="22" t="n">
        <x:v>43953</x:v>
      </x:c>
      <x:c r="F80" s="2" t="str">
        <x:v>BITRE actual</x:v>
      </x:c>
    </x:row>
    <x:row r="81" ht="22" customHeight="1">
      <x:c r="A81" s="2" t="str">
        <x:v>MEL-SIN</x:v>
      </x:c>
      <x:c r="B81" s="13" t="n">
        <x:v>45292</x:v>
      </x:c>
      <x:c r="C81" s="22" t="n">
        <x:v>84980</x:v>
      </x:c>
      <x:c r="D81" s="22" t="n">
        <x:v>75582</x:v>
      </x:c>
      <x:c r="E81" s="22" t="n">
        <x:v>160562</x:v>
      </x:c>
      <x:c r="F81" s="2" t="str">
        <x:v>BITRE actual</x:v>
      </x:c>
    </x:row>
    <x:row r="82" ht="22" customHeight="1">
      <x:c r="A82" s="2" t="str">
        <x:v>SYD-SEL</x:v>
      </x:c>
      <x:c r="B82" s="13" t="n">
        <x:v>45292</x:v>
      </x:c>
      <x:c r="C82" s="22" t="n">
        <x:v>38216</x:v>
      </x:c>
      <x:c r="D82" s="22" t="n">
        <x:v>31721</x:v>
      </x:c>
      <x:c r="E82" s="22" t="n">
        <x:v>69937</x:v>
      </x:c>
      <x:c r="F82" s="2" t="str">
        <x:v>BITRE actual</x:v>
      </x:c>
    </x:row>
    <x:row r="83" ht="22" customHeight="1">
      <x:c r="A83" s="2" t="str">
        <x:v>SYD-TYO</x:v>
      </x:c>
      <x:c r="B83" s="13" t="n">
        <x:v>45292</x:v>
      </x:c>
      <x:c r="C83" s="22" t="n">
        <x:v>32878</x:v>
      </x:c>
      <x:c r="D83" s="22" t="n">
        <x:v>30921</x:v>
      </x:c>
      <x:c r="E83" s="22" t="n">
        <x:v>63799</x:v>
      </x:c>
      <x:c r="F83" s="2" t="str">
        <x:v>BITRE actual</x:v>
      </x:c>
    </x:row>
    <x:row r="84" ht="22" customHeight="1">
      <x:c r="A84" s="2" t="str">
        <x:v>BNE-AKL</x:v>
      </x:c>
      <x:c r="B84" s="13" t="n">
        <x:v>45323</x:v>
      </x:c>
      <x:c r="C84" s="22" t="n">
        <x:v>31634</x:v>
      </x:c>
      <x:c r="D84" s="22" t="n">
        <x:v>34835</x:v>
      </x:c>
      <x:c r="E84" s="22" t="n">
        <x:v>66469</x:v>
      </x:c>
      <x:c r="F84" s="2" t="str">
        <x:v>BITRE actual</x:v>
      </x:c>
    </x:row>
    <x:row r="85" ht="22" customHeight="1">
      <x:c r="A85" s="2" t="str">
        <x:v>BNE-TYO</x:v>
      </x:c>
      <x:c r="B85" s="13" t="n">
        <x:v>45323</x:v>
      </x:c>
      <x:c r="C85" s="22" t="n">
        <x:v>16508</x:v>
      </x:c>
      <x:c r="D85" s="22" t="n">
        <x:v>14665</x:v>
      </x:c>
      <x:c r="E85" s="22" t="n">
        <x:v>31173</x:v>
      </x:c>
      <x:c r="F85" s="2" t="str">
        <x:v>BITRE actual</x:v>
      </x:c>
    </x:row>
    <x:row r="86" ht="22" customHeight="1">
      <x:c r="A86" s="2" t="str">
        <x:v>MEL-SGN</x:v>
      </x:c>
      <x:c r="B86" s="13" t="n">
        <x:v>45323</x:v>
      </x:c>
      <x:c r="C86" s="22" t="n">
        <x:v>22366</x:v>
      </x:c>
      <x:c r="D86" s="22" t="n">
        <x:v>14948</x:v>
      </x:c>
      <x:c r="E86" s="22" t="n">
        <x:v>37314</x:v>
      </x:c>
      <x:c r="F86" s="2" t="str">
        <x:v>BITRE actual</x:v>
      </x:c>
    </x:row>
    <x:row r="87" ht="22" customHeight="1">
      <x:c r="A87" s="2" t="str">
        <x:v>MEL-SIN</x:v>
      </x:c>
      <x:c r="B87" s="13" t="n">
        <x:v>45323</x:v>
      </x:c>
      <x:c r="C87" s="22" t="n">
        <x:v>78531</x:v>
      </x:c>
      <x:c r="D87" s="22" t="n">
        <x:v>63072</x:v>
      </x:c>
      <x:c r="E87" s="22" t="n">
        <x:v>141603</x:v>
      </x:c>
      <x:c r="F87" s="2" t="str">
        <x:v>BITRE actual</x:v>
      </x:c>
    </x:row>
    <x:row r="88" ht="22" customHeight="1">
      <x:c r="A88" s="2" t="str">
        <x:v>SYD-SEL</x:v>
      </x:c>
      <x:c r="B88" s="13" t="n">
        <x:v>45323</x:v>
      </x:c>
      <x:c r="C88" s="22" t="n">
        <x:v>34528</x:v>
      </x:c>
      <x:c r="D88" s="22" t="n">
        <x:v>31770</x:v>
      </x:c>
      <x:c r="E88" s="22" t="n">
        <x:v>66298</x:v>
      </x:c>
      <x:c r="F88" s="2" t="str">
        <x:v>BITRE actual</x:v>
      </x:c>
    </x:row>
    <x:row r="89" ht="22" customHeight="1">
      <x:c r="A89" s="2" t="str">
        <x:v>SYD-TYO</x:v>
      </x:c>
      <x:c r="B89" s="13" t="n">
        <x:v>45323</x:v>
      </x:c>
      <x:c r="C89" s="22" t="n">
        <x:v>31986</x:v>
      </x:c>
      <x:c r="D89" s="22" t="n">
        <x:v>29060</x:v>
      </x:c>
      <x:c r="E89" s="22" t="n">
        <x:v>61046</x:v>
      </x:c>
      <x:c r="F89" s="2" t="str">
        <x:v>BITRE actual</x:v>
      </x:c>
    </x:row>
    <x:row r="90" ht="22" customHeight="1">
      <x:c r="A90" s="2" t="str">
        <x:v>BNE-AKL</x:v>
      </x:c>
      <x:c r="B90" s="13" t="n">
        <x:v>45352</x:v>
      </x:c>
      <x:c r="C90" s="22" t="n">
        <x:v>37559</x:v>
      </x:c>
      <x:c r="D90" s="22" t="n">
        <x:v>36502</x:v>
      </x:c>
      <x:c r="E90" s="22" t="n">
        <x:v>74061</x:v>
      </x:c>
      <x:c r="F90" s="2" t="str">
        <x:v>BITRE actual</x:v>
      </x:c>
    </x:row>
    <x:row r="91" ht="22" customHeight="1">
      <x:c r="A91" s="2" t="str">
        <x:v>BNE-TYO</x:v>
      </x:c>
      <x:c r="B91" s="13" t="n">
        <x:v>45352</x:v>
      </x:c>
      <x:c r="C91" s="22" t="n">
        <x:v>16306</x:v>
      </x:c>
      <x:c r="D91" s="22" t="n">
        <x:v>16865</x:v>
      </x:c>
      <x:c r="E91" s="22" t="n">
        <x:v>33171</x:v>
      </x:c>
      <x:c r="F91" s="2" t="str">
        <x:v>BITRE actual</x:v>
      </x:c>
    </x:row>
    <x:row r="92" ht="22" customHeight="1">
      <x:c r="A92" s="2" t="str">
        <x:v>MEL-SGN</x:v>
      </x:c>
      <x:c r="B92" s="13" t="n">
        <x:v>45352</x:v>
      </x:c>
      <x:c r="C92" s="22" t="n">
        <x:v>19700</x:v>
      </x:c>
      <x:c r="D92" s="22" t="n">
        <x:v>18191</x:v>
      </x:c>
      <x:c r="E92" s="22" t="n">
        <x:v>37891</x:v>
      </x:c>
      <x:c r="F92" s="2" t="str">
        <x:v>BITRE actual</x:v>
      </x:c>
    </x:row>
    <x:row r="93" ht="22" customHeight="1">
      <x:c r="A93" s="2" t="str">
        <x:v>MEL-SIN</x:v>
      </x:c>
      <x:c r="B93" s="13" t="n">
        <x:v>45352</x:v>
      </x:c>
      <x:c r="C93" s="22" t="n">
        <x:v>71784</x:v>
      </x:c>
      <x:c r="D93" s="22" t="n">
        <x:v>73760</x:v>
      </x:c>
      <x:c r="E93" s="22" t="n">
        <x:v>145544</x:v>
      </x:c>
      <x:c r="F93" s="2" t="str">
        <x:v>BITRE actual</x:v>
      </x:c>
    </x:row>
    <x:row r="94" ht="22" customHeight="1">
      <x:c r="A94" s="2" t="str">
        <x:v>SYD-SEL</x:v>
      </x:c>
      <x:c r="B94" s="13" t="n">
        <x:v>45352</x:v>
      </x:c>
      <x:c r="C94" s="22" t="n">
        <x:v>25386</x:v>
      </x:c>
      <x:c r="D94" s="22" t="n">
        <x:v>32786</x:v>
      </x:c>
      <x:c r="E94" s="22" t="n">
        <x:v>58172</x:v>
      </x:c>
      <x:c r="F94" s="2" t="str">
        <x:v>BITRE actual</x:v>
      </x:c>
    </x:row>
    <x:row r="95" ht="22" customHeight="1">
      <x:c r="A95" s="2" t="str">
        <x:v>SYD-TYO</x:v>
      </x:c>
      <x:c r="B95" s="13" t="n">
        <x:v>45352</x:v>
      </x:c>
      <x:c r="C95" s="22" t="n">
        <x:v>29336</x:v>
      </x:c>
      <x:c r="D95" s="22" t="n">
        <x:v>33895</x:v>
      </x:c>
      <x:c r="E95" s="22" t="n">
        <x:v>63231</x:v>
      </x:c>
      <x:c r="F95" s="2" t="str">
        <x:v>BITRE actual</x:v>
      </x:c>
    </x:row>
    <x:row r="96" ht="22" customHeight="1">
      <x:c r="A96" s="2" t="str">
        <x:v>BNE-AKL</x:v>
      </x:c>
      <x:c r="B96" s="13" t="n">
        <x:v>45383</x:v>
      </x:c>
      <x:c r="C96" s="22" t="n">
        <x:v>40033</x:v>
      </x:c>
      <x:c r="D96" s="22" t="n">
        <x:v>36176</x:v>
      </x:c>
      <x:c r="E96" s="22" t="n">
        <x:v>76209</x:v>
      </x:c>
      <x:c r="F96" s="2" t="str">
        <x:v>BITRE actual</x:v>
      </x:c>
    </x:row>
    <x:row r="97" ht="22" customHeight="1">
      <x:c r="A97" s="2" t="str">
        <x:v>BNE-TYO</x:v>
      </x:c>
      <x:c r="B97" s="13" t="n">
        <x:v>45383</x:v>
      </x:c>
      <x:c r="C97" s="22" t="n">
        <x:v>14027</x:v>
      </x:c>
      <x:c r="D97" s="22" t="n">
        <x:v>12469</x:v>
      </x:c>
      <x:c r="E97" s="22" t="n">
        <x:v>26496</x:v>
      </x:c>
      <x:c r="F97" s="2" t="str">
        <x:v>BITRE actual</x:v>
      </x:c>
    </x:row>
    <x:row r="98" ht="22" customHeight="1">
      <x:c r="A98" s="2" t="str">
        <x:v>MEL-SGN</x:v>
      </x:c>
      <x:c r="B98" s="13" t="n">
        <x:v>45383</x:v>
      </x:c>
      <x:c r="C98" s="22" t="n">
        <x:v>20175</x:v>
      </x:c>
      <x:c r="D98" s="22" t="n">
        <x:v>15941</x:v>
      </x:c>
      <x:c r="E98" s="22" t="n">
        <x:v>36116</x:v>
      </x:c>
      <x:c r="F98" s="2" t="str">
        <x:v>BITRE actual</x:v>
      </x:c>
    </x:row>
    <x:row r="99" ht="22" customHeight="1">
      <x:c r="A99" s="2" t="str">
        <x:v>MEL-SIN</x:v>
      </x:c>
      <x:c r="B99" s="13" t="n">
        <x:v>45383</x:v>
      </x:c>
      <x:c r="C99" s="22" t="n">
        <x:v>67029</x:v>
      </x:c>
      <x:c r="D99" s="22" t="n">
        <x:v>65396</x:v>
      </x:c>
      <x:c r="E99" s="22" t="n">
        <x:v>132425</x:v>
      </x:c>
      <x:c r="F99" s="2" t="str">
        <x:v>BITRE actual</x:v>
      </x:c>
    </x:row>
    <x:row r="100" ht="22" customHeight="1">
      <x:c r="A100" s="2" t="str">
        <x:v>SYD-SEL</x:v>
      </x:c>
      <x:c r="B100" s="13" t="n">
        <x:v>45383</x:v>
      </x:c>
      <x:c r="C100" s="22" t="n">
        <x:v>27858</x:v>
      </x:c>
      <x:c r="D100" s="22" t="n">
        <x:v>28393</x:v>
      </x:c>
      <x:c r="E100" s="22" t="n">
        <x:v>56251</x:v>
      </x:c>
      <x:c r="F100" s="2" t="str">
        <x:v>BITRE actual</x:v>
      </x:c>
    </x:row>
    <x:row r="101" ht="22" customHeight="1">
      <x:c r="A101" s="2" t="str">
        <x:v>SYD-TYO</x:v>
      </x:c>
      <x:c r="B101" s="13" t="n">
        <x:v>45383</x:v>
      </x:c>
      <x:c r="C101" s="22" t="n">
        <x:v>30900</x:v>
      </x:c>
      <x:c r="D101" s="22" t="n">
        <x:v>29746</x:v>
      </x:c>
      <x:c r="E101" s="22" t="n">
        <x:v>60646</x:v>
      </x:c>
      <x:c r="F101" s="2" t="str">
        <x:v>BITRE actual</x:v>
      </x:c>
    </x:row>
    <x:row r="102" ht="22" customHeight="1">
      <x:c r="A102" s="2" t="str">
        <x:v>BNE-AKL</x:v>
      </x:c>
      <x:c r="B102" s="13" t="n">
        <x:v>45413</x:v>
      </x:c>
      <x:c r="C102" s="22" t="n">
        <x:v>35157</x:v>
      </x:c>
      <x:c r="D102" s="22" t="n">
        <x:v>33632</x:v>
      </x:c>
      <x:c r="E102" s="22" t="n">
        <x:v>68789</x:v>
      </x:c>
      <x:c r="F102" s="2" t="str">
        <x:v>BITRE actual</x:v>
      </x:c>
    </x:row>
    <x:row r="103" ht="22" customHeight="1">
      <x:c r="A103" s="2" t="str">
        <x:v>BNE-TYO</x:v>
      </x:c>
      <x:c r="B103" s="13" t="n">
        <x:v>45413</x:v>
      </x:c>
      <x:c r="C103" s="22" t="n">
        <x:v>12754</x:v>
      </x:c>
      <x:c r="D103" s="22" t="n">
        <x:v>12321</x:v>
      </x:c>
      <x:c r="E103" s="22" t="n">
        <x:v>25075</x:v>
      </x:c>
      <x:c r="F103" s="2" t="str">
        <x:v>BITRE actual</x:v>
      </x:c>
    </x:row>
    <x:row r="104" ht="22" customHeight="1">
      <x:c r="A104" s="2" t="str">
        <x:v>MEL-SGN</x:v>
      </x:c>
      <x:c r="B104" s="13" t="n">
        <x:v>45413</x:v>
      </x:c>
      <x:c r="C104" s="22" t="n">
        <x:v>16239</x:v>
      </x:c>
      <x:c r="D104" s="22" t="n">
        <x:v>16469</x:v>
      </x:c>
      <x:c r="E104" s="22" t="n">
        <x:v>32708</x:v>
      </x:c>
      <x:c r="F104" s="2" t="str">
        <x:v>BITRE actual</x:v>
      </x:c>
    </x:row>
    <x:row r="105" ht="22" customHeight="1">
      <x:c r="A105" s="2" t="str">
        <x:v>MEL-SIN</x:v>
      </x:c>
      <x:c r="B105" s="13" t="n">
        <x:v>45413</x:v>
      </x:c>
      <x:c r="C105" s="22" t="n">
        <x:v>64515</x:v>
      </x:c>
      <x:c r="D105" s="22" t="n">
        <x:v>67613</x:v>
      </x:c>
      <x:c r="E105" s="22" t="n">
        <x:v>132128</x:v>
      </x:c>
      <x:c r="F105" s="2" t="str">
        <x:v>BITRE actual</x:v>
      </x:c>
    </x:row>
    <x:row r="106" ht="22" customHeight="1">
      <x:c r="A106" s="2" t="str">
        <x:v>SYD-SEL</x:v>
      </x:c>
      <x:c r="B106" s="13" t="n">
        <x:v>45413</x:v>
      </x:c>
      <x:c r="C106" s="22" t="n">
        <x:v>28318</x:v>
      </x:c>
      <x:c r="D106" s="22" t="n">
        <x:v>28476</x:v>
      </x:c>
      <x:c r="E106" s="22" t="n">
        <x:v>56794</x:v>
      </x:c>
      <x:c r="F106" s="2" t="str">
        <x:v>BITRE actual</x:v>
      </x:c>
    </x:row>
    <x:row r="107" ht="22" customHeight="1">
      <x:c r="A107" s="2" t="str">
        <x:v>SYD-TYO</x:v>
      </x:c>
      <x:c r="B107" s="13" t="n">
        <x:v>45413</x:v>
      </x:c>
      <x:c r="C107" s="22" t="n">
        <x:v>28132</x:v>
      </x:c>
      <x:c r="D107" s="22" t="n">
        <x:v>30189</x:v>
      </x:c>
      <x:c r="E107" s="22" t="n">
        <x:v>58321</x:v>
      </x:c>
      <x:c r="F107" s="2" t="str">
        <x:v>BITRE actual</x:v>
      </x:c>
    </x:row>
    <x:row r="108" ht="22" customHeight="1">
      <x:c r="A108" s="2" t="str">
        <x:v>BNE-AKL</x:v>
      </x:c>
      <x:c r="B108" s="13" t="n">
        <x:v>45444</x:v>
      </x:c>
      <x:c r="C108" s="22" t="n">
        <x:v>34437</x:v>
      </x:c>
      <x:c r="D108" s="22" t="n">
        <x:v>36505</x:v>
      </x:c>
      <x:c r="E108" s="22" t="n">
        <x:v>70942</x:v>
      </x:c>
      <x:c r="F108" s="2" t="str">
        <x:v>BITRE actual</x:v>
      </x:c>
    </x:row>
    <x:row r="109" ht="22" customHeight="1">
      <x:c r="A109" s="2" t="str">
        <x:v>BNE-TYO</x:v>
      </x:c>
      <x:c r="B109" s="13" t="n">
        <x:v>45444</x:v>
      </x:c>
      <x:c r="C109" s="22" t="n">
        <x:v>13224</x:v>
      </x:c>
      <x:c r="D109" s="22" t="n">
        <x:v>14317</x:v>
      </x:c>
      <x:c r="E109" s="22" t="n">
        <x:v>27541</x:v>
      </x:c>
      <x:c r="F109" s="2" t="str">
        <x:v>BITRE actual</x:v>
      </x:c>
    </x:row>
    <x:row r="110" ht="22" customHeight="1">
      <x:c r="A110" s="2" t="str">
        <x:v>MEL-SGN</x:v>
      </x:c>
      <x:c r="B110" s="13" t="n">
        <x:v>45444</x:v>
      </x:c>
      <x:c r="C110" s="22" t="n">
        <x:v>16558</x:v>
      </x:c>
      <x:c r="D110" s="22" t="n">
        <x:v>19529</x:v>
      </x:c>
      <x:c r="E110" s="22" t="n">
        <x:v>36087</x:v>
      </x:c>
      <x:c r="F110" s="2" t="str">
        <x:v>BITRE actual</x:v>
      </x:c>
    </x:row>
    <x:row r="111" ht="22" customHeight="1">
      <x:c r="A111" s="2" t="str">
        <x:v>MEL-SIN</x:v>
      </x:c>
      <x:c r="B111" s="13" t="n">
        <x:v>45444</x:v>
      </x:c>
      <x:c r="C111" s="22" t="n">
        <x:v>70170</x:v>
      </x:c>
      <x:c r="D111" s="22" t="n">
        <x:v>81605</x:v>
      </x:c>
      <x:c r="E111" s="22" t="n">
        <x:v>151775</x:v>
      </x:c>
      <x:c r="F111" s="2" t="str">
        <x:v>BITRE actual</x:v>
      </x:c>
    </x:row>
    <x:row r="112" ht="22" customHeight="1">
      <x:c r="A112" s="2" t="str">
        <x:v>SYD-SEL</x:v>
      </x:c>
      <x:c r="B112" s="13" t="n">
        <x:v>45444</x:v>
      </x:c>
      <x:c r="C112" s="22" t="n">
        <x:v>25592</x:v>
      </x:c>
      <x:c r="D112" s="22" t="n">
        <x:v>27881</x:v>
      </x:c>
      <x:c r="E112" s="22" t="n">
        <x:v>53473</x:v>
      </x:c>
      <x:c r="F112" s="2" t="str">
        <x:v>BITRE actual</x:v>
      </x:c>
    </x:row>
    <x:row r="113" ht="22" customHeight="1">
      <x:c r="A113" s="2" t="str">
        <x:v>SYD-TYO</x:v>
      </x:c>
      <x:c r="B113" s="13" t="n">
        <x:v>45444</x:v>
      </x:c>
      <x:c r="C113" s="22" t="n">
        <x:v>24095</x:v>
      </x:c>
      <x:c r="D113" s="22" t="n">
        <x:v>27889</x:v>
      </x:c>
      <x:c r="E113" s="22" t="n">
        <x:v>51984</x:v>
      </x:c>
      <x:c r="F113" s="2" t="str">
        <x:v>BITRE actual</x:v>
      </x:c>
    </x:row>
    <x:row r="114" ht="22" customHeight="1">
      <x:c r="A114" s="2" t="str">
        <x:v>BNE-AKL</x:v>
      </x:c>
      <x:c r="B114" s="13" t="n">
        <x:v>45474</x:v>
      </x:c>
      <x:c r="C114" s="22" t="n">
        <x:v>40112</x:v>
      </x:c>
      <x:c r="D114" s="22" t="n">
        <x:v>38641</x:v>
      </x:c>
      <x:c r="E114" s="22" t="n">
        <x:v>78753</x:v>
      </x:c>
      <x:c r="F114" s="2" t="str">
        <x:v>BITRE actual</x:v>
      </x:c>
    </x:row>
    <x:row r="115" ht="22" customHeight="1">
      <x:c r="A115" s="2" t="str">
        <x:v>BNE-TYO</x:v>
      </x:c>
      <x:c r="B115" s="13" t="n">
        <x:v>45474</x:v>
      </x:c>
      <x:c r="C115" s="22" t="n">
        <x:v>16308</x:v>
      </x:c>
      <x:c r="D115" s="22" t="n">
        <x:v>9331</x:v>
      </x:c>
      <x:c r="E115" s="22" t="n">
        <x:v>25639</x:v>
      </x:c>
      <x:c r="F115" s="2" t="str">
        <x:v>BITRE actual</x:v>
      </x:c>
    </x:row>
    <x:row r="116" ht="22" customHeight="1">
      <x:c r="A116" s="2" t="str">
        <x:v>MEL-SGN</x:v>
      </x:c>
      <x:c r="B116" s="13" t="n">
        <x:v>45474</x:v>
      </x:c>
      <x:c r="C116" s="22" t="n">
        <x:v>21784</x:v>
      </x:c>
      <x:c r="D116" s="22" t="n">
        <x:v>17824</x:v>
      </x:c>
      <x:c r="E116" s="22" t="n">
        <x:v>39608</x:v>
      </x:c>
      <x:c r="F116" s="2" t="str">
        <x:v>BITRE actual</x:v>
      </x:c>
    </x:row>
    <x:row r="117" ht="22" customHeight="1">
      <x:c r="A117" s="2" t="str">
        <x:v>MEL-SIN</x:v>
      </x:c>
      <x:c r="B117" s="13" t="n">
        <x:v>45474</x:v>
      </x:c>
      <x:c r="C117" s="22" t="n">
        <x:v>81900</x:v>
      </x:c>
      <x:c r="D117" s="22" t="n">
        <x:v>70806</x:v>
      </x:c>
      <x:c r="E117" s="22" t="n">
        <x:v>152706</x:v>
      </x:c>
      <x:c r="F117" s="2" t="str">
        <x:v>BITRE actual</x:v>
      </x:c>
    </x:row>
    <x:row r="118" ht="22" customHeight="1">
      <x:c r="A118" s="2" t="str">
        <x:v>SYD-SEL</x:v>
      </x:c>
      <x:c r="B118" s="13" t="n">
        <x:v>45474</x:v>
      </x:c>
      <x:c r="C118" s="22" t="n">
        <x:v>30556</x:v>
      </x:c>
      <x:c r="D118" s="22" t="n">
        <x:v>24881</x:v>
      </x:c>
      <x:c r="E118" s="22" t="n">
        <x:v>55437</x:v>
      </x:c>
      <x:c r="F118" s="2" t="str">
        <x:v>BITRE actual</x:v>
      </x:c>
    </x:row>
    <x:row r="119" ht="22" customHeight="1">
      <x:c r="A119" s="2" t="str">
        <x:v>SYD-TYO</x:v>
      </x:c>
      <x:c r="B119" s="13" t="n">
        <x:v>45474</x:v>
      </x:c>
      <x:c r="C119" s="22" t="n">
        <x:v>32035</x:v>
      </x:c>
      <x:c r="D119" s="22" t="n">
        <x:v>23003</x:v>
      </x:c>
      <x:c r="E119" s="22" t="n">
        <x:v>55038</x:v>
      </x:c>
      <x:c r="F119" s="2" t="str">
        <x:v>BITRE actual</x:v>
      </x:c>
    </x:row>
    <x:row r="120" ht="22" customHeight="1">
      <x:c r="A120" s="2" t="str">
        <x:v>BNE-AKL</x:v>
      </x:c>
      <x:c r="B120" s="13" t="n">
        <x:v>45505</x:v>
      </x:c>
      <x:c r="C120" s="22" t="n">
        <x:v>35538</x:v>
      </x:c>
      <x:c r="D120" s="22" t="n">
        <x:v>36913</x:v>
      </x:c>
      <x:c r="E120" s="22" t="n">
        <x:v>72451</x:v>
      </x:c>
      <x:c r="F120" s="2" t="str">
        <x:v>BITRE actual</x:v>
      </x:c>
    </x:row>
    <x:row r="121" ht="22" customHeight="1">
      <x:c r="A121" s="2" t="str">
        <x:v>BNE-TYO</x:v>
      </x:c>
      <x:c r="B121" s="13" t="n">
        <x:v>45505</x:v>
      </x:c>
      <x:c r="C121" s="22" t="n">
        <x:v>12958</x:v>
      </x:c>
      <x:c r="D121" s="22" t="n">
        <x:v>15004</x:v>
      </x:c>
      <x:c r="E121" s="22" t="n">
        <x:v>27962</x:v>
      </x:c>
      <x:c r="F121" s="2" t="str">
        <x:v>BITRE actual</x:v>
      </x:c>
    </x:row>
    <x:row r="122" ht="22" customHeight="1">
      <x:c r="A122" s="2" t="str">
        <x:v>MEL-SGN</x:v>
      </x:c>
      <x:c r="B122" s="13" t="n">
        <x:v>45505</x:v>
      </x:c>
      <x:c r="C122" s="22" t="n">
        <x:v>17861</x:v>
      </x:c>
      <x:c r="D122" s="22" t="n">
        <x:v>16391</x:v>
      </x:c>
      <x:c r="E122" s="22" t="n">
        <x:v>34252</x:v>
      </x:c>
      <x:c r="F122" s="2" t="str">
        <x:v>BITRE actual</x:v>
      </x:c>
    </x:row>
    <x:row r="123" ht="22" customHeight="1">
      <x:c r="A123" s="2" t="str">
        <x:v>MEL-SIN</x:v>
      </x:c>
      <x:c r="B123" s="13" t="n">
        <x:v>45505</x:v>
      </x:c>
      <x:c r="C123" s="22" t="n">
        <x:v>72547</x:v>
      </x:c>
      <x:c r="D123" s="22" t="n">
        <x:v>73210</x:v>
      </x:c>
      <x:c r="E123" s="22" t="n">
        <x:v>145757</x:v>
      </x:c>
      <x:c r="F123" s="2" t="str">
        <x:v>BITRE actual</x:v>
      </x:c>
    </x:row>
    <x:row r="124" ht="22" customHeight="1">
      <x:c r="A124" s="2" t="str">
        <x:v>SYD-SEL</x:v>
      </x:c>
      <x:c r="B124" s="13" t="n">
        <x:v>45505</x:v>
      </x:c>
      <x:c r="C124" s="22" t="n">
        <x:v>28253</x:v>
      </x:c>
      <x:c r="D124" s="22" t="n">
        <x:v>30825</x:v>
      </x:c>
      <x:c r="E124" s="22" t="n">
        <x:v>59078</x:v>
      </x:c>
      <x:c r="F124" s="2" t="str">
        <x:v>BITRE actual</x:v>
      </x:c>
    </x:row>
    <x:row r="125" ht="22" customHeight="1">
      <x:c r="A125" s="2" t="str">
        <x:v>SYD-TYO</x:v>
      </x:c>
      <x:c r="B125" s="13" t="n">
        <x:v>45505</x:v>
      </x:c>
      <x:c r="C125" s="22" t="n">
        <x:v>26730</x:v>
      </x:c>
      <x:c r="D125" s="22" t="n">
        <x:v>30772</x:v>
      </x:c>
      <x:c r="E125" s="22" t="n">
        <x:v>57502</x:v>
      </x:c>
      <x:c r="F125" s="2" t="str">
        <x:v>BITRE actual</x:v>
      </x:c>
    </x:row>
    <x:row r="126" ht="22" customHeight="1">
      <x:c r="A126" s="2" t="str">
        <x:v>BNE-AKL</x:v>
      </x:c>
      <x:c r="B126" s="13" t="n">
        <x:v>45536</x:v>
      </x:c>
      <x:c r="C126" s="22" t="n">
        <x:v>39250</x:v>
      </x:c>
      <x:c r="D126" s="22" t="n">
        <x:v>39596</x:v>
      </x:c>
      <x:c r="E126" s="22" t="n">
        <x:v>78846</x:v>
      </x:c>
      <x:c r="F126" s="2" t="str">
        <x:v>BITRE actual</x:v>
      </x:c>
    </x:row>
    <x:row r="127" ht="22" customHeight="1">
      <x:c r="A127" s="2" t="str">
        <x:v>BNE-TYO</x:v>
      </x:c>
      <x:c r="B127" s="13" t="n">
        <x:v>45536</x:v>
      </x:c>
      <x:c r="C127" s="22" t="n">
        <x:v>13690</x:v>
      </x:c>
      <x:c r="D127" s="22" t="n">
        <x:v>15860</x:v>
      </x:c>
      <x:c r="E127" s="22" t="n">
        <x:v>29550</x:v>
      </x:c>
      <x:c r="F127" s="2" t="str">
        <x:v>BITRE actual</x:v>
      </x:c>
    </x:row>
    <x:row r="128" ht="22" customHeight="1">
      <x:c r="A128" s="2" t="str">
        <x:v>MEL-SGN</x:v>
      </x:c>
      <x:c r="B128" s="13" t="n">
        <x:v>45536</x:v>
      </x:c>
      <x:c r="C128" s="22" t="n">
        <x:v>16853</x:v>
      </x:c>
      <x:c r="D128" s="22" t="n">
        <x:v>19061</x:v>
      </x:c>
      <x:c r="E128" s="22" t="n">
        <x:v>35914</x:v>
      </x:c>
      <x:c r="F128" s="2" t="str">
        <x:v>BITRE actual</x:v>
      </x:c>
    </x:row>
    <x:row r="129" ht="22" customHeight="1">
      <x:c r="A129" s="2" t="str">
        <x:v>MEL-SIN</x:v>
      </x:c>
      <x:c r="B129" s="13" t="n">
        <x:v>45536</x:v>
      </x:c>
      <x:c r="C129" s="22" t="n">
        <x:v>75260</x:v>
      </x:c>
      <x:c r="D129" s="22" t="n">
        <x:v>78000</x:v>
      </x:c>
      <x:c r="E129" s="22" t="n">
        <x:v>153260</x:v>
      </x:c>
      <x:c r="F129" s="2" t="str">
        <x:v>BITRE actual</x:v>
      </x:c>
    </x:row>
    <x:row r="130" ht="22" customHeight="1">
      <x:c r="A130" s="2" t="str">
        <x:v>SYD-SEL</x:v>
      </x:c>
      <x:c r="B130" s="13" t="n">
        <x:v>45536</x:v>
      </x:c>
      <x:c r="C130" s="22" t="n">
        <x:v>27680</x:v>
      </x:c>
      <x:c r="D130" s="22" t="n">
        <x:v>29257</x:v>
      </x:c>
      <x:c r="E130" s="22" t="n">
        <x:v>56937</x:v>
      </x:c>
      <x:c r="F130" s="2" t="str">
        <x:v>BITRE actual</x:v>
      </x:c>
    </x:row>
    <x:row r="131" ht="22" customHeight="1">
      <x:c r="A131" s="2" t="str">
        <x:v>SYD-TYO</x:v>
      </x:c>
      <x:c r="B131" s="13" t="n">
        <x:v>45536</x:v>
      </x:c>
      <x:c r="C131" s="22" t="n">
        <x:v>27865</x:v>
      </x:c>
      <x:c r="D131" s="22" t="n">
        <x:v>34303</x:v>
      </x:c>
      <x:c r="E131" s="22" t="n">
        <x:v>62168</x:v>
      </x:c>
      <x:c r="F131" s="2" t="str">
        <x:v>BITRE actual</x:v>
      </x:c>
    </x:row>
    <x:row r="132" ht="22" customHeight="1">
      <x:c r="A132" s="2" t="str">
        <x:v>BNE-AKL</x:v>
      </x:c>
      <x:c r="B132" s="13" t="n">
        <x:v>45566</x:v>
      </x:c>
      <x:c r="C132" s="22" t="n">
        <x:v>40302</x:v>
      </x:c>
      <x:c r="D132" s="22" t="n">
        <x:v>44751</x:v>
      </x:c>
      <x:c r="E132" s="22" t="n">
        <x:v>85053</x:v>
      </x:c>
      <x:c r="F132" s="2" t="str">
        <x:v>BITRE actual</x:v>
      </x:c>
    </x:row>
    <x:row r="133" ht="22" customHeight="1">
      <x:c r="A133" s="2" t="str">
        <x:v>BNE-TYO</x:v>
      </x:c>
      <x:c r="B133" s="13" t="n">
        <x:v>45566</x:v>
      </x:c>
      <x:c r="C133" s="22" t="n">
        <x:v>16002</x:v>
      </x:c>
      <x:c r="D133" s="22" t="n">
        <x:v>14998</x:v>
      </x:c>
      <x:c r="E133" s="22" t="n">
        <x:v>31000</x:v>
      </x:c>
      <x:c r="F133" s="2" t="str">
        <x:v>BITRE actual</x:v>
      </x:c>
    </x:row>
    <x:row r="134" ht="22" customHeight="1">
      <x:c r="A134" s="2" t="str">
        <x:v>MEL-SGN</x:v>
      </x:c>
      <x:c r="B134" s="13" t="n">
        <x:v>45566</x:v>
      </x:c>
      <x:c r="C134" s="22" t="n">
        <x:v>21047</x:v>
      </x:c>
      <x:c r="D134" s="22" t="n">
        <x:v>16026</x:v>
      </x:c>
      <x:c r="E134" s="22" t="n">
        <x:v>37073</x:v>
      </x:c>
      <x:c r="F134" s="2" t="str">
        <x:v>BITRE actual</x:v>
      </x:c>
    </x:row>
    <x:row r="135" ht="22" customHeight="1">
      <x:c r="A135" s="2" t="str">
        <x:v>MEL-SIN</x:v>
      </x:c>
      <x:c r="B135" s="13" t="n">
        <x:v>45566</x:v>
      </x:c>
      <x:c r="C135" s="22" t="n">
        <x:v>80937</x:v>
      </x:c>
      <x:c r="D135" s="22" t="n">
        <x:v>66321</x:v>
      </x:c>
      <x:c r="E135" s="22" t="n">
        <x:v>147258</x:v>
      </x:c>
      <x:c r="F135" s="2" t="str">
        <x:v>BITRE actual</x:v>
      </x:c>
    </x:row>
    <x:row r="136" ht="22" customHeight="1">
      <x:c r="A136" s="2" t="str">
        <x:v>SYD-SEL</x:v>
      </x:c>
      <x:c r="B136" s="13" t="n">
        <x:v>45566</x:v>
      </x:c>
      <x:c r="C136" s="22" t="n">
        <x:v>31112</x:v>
      </x:c>
      <x:c r="D136" s="22" t="n">
        <x:v>29085</x:v>
      </x:c>
      <x:c r="E136" s="22" t="n">
        <x:v>60197</x:v>
      </x:c>
      <x:c r="F136" s="2" t="str">
        <x:v>BITRE actual</x:v>
      </x:c>
    </x:row>
    <x:row r="137" ht="22" customHeight="1">
      <x:c r="A137" s="2" t="str">
        <x:v>SYD-TYO</x:v>
      </x:c>
      <x:c r="B137" s="13" t="n">
        <x:v>45566</x:v>
      </x:c>
      <x:c r="C137" s="22" t="n">
        <x:v>35675</x:v>
      </x:c>
      <x:c r="D137" s="22" t="n">
        <x:v>32680</x:v>
      </x:c>
      <x:c r="E137" s="22" t="n">
        <x:v>68355</x:v>
      </x:c>
      <x:c r="F137" s="2" t="str">
        <x:v>BITRE actual</x:v>
      </x:c>
    </x:row>
    <x:row r="138" ht="22" customHeight="1">
      <x:c r="A138" s="2" t="str">
        <x:v>BNE-AKL</x:v>
      </x:c>
      <x:c r="B138" s="13" t="n">
        <x:v>45597</x:v>
      </x:c>
      <x:c r="C138" s="22" t="n">
        <x:v>38658</x:v>
      </x:c>
      <x:c r="D138" s="22" t="n">
        <x:v>41074</x:v>
      </x:c>
      <x:c r="E138" s="22" t="n">
        <x:v>79732</x:v>
      </x:c>
      <x:c r="F138" s="2" t="str">
        <x:v>BITRE actual</x:v>
      </x:c>
    </x:row>
    <x:row r="139" ht="22" customHeight="1">
      <x:c r="A139" s="2" t="str">
        <x:v>BNE-TYO</x:v>
      </x:c>
      <x:c r="B139" s="13" t="n">
        <x:v>45597</x:v>
      </x:c>
      <x:c r="C139" s="22" t="n">
        <x:v>15650</x:v>
      </x:c>
      <x:c r="D139" s="22" t="n">
        <x:v>16217</x:v>
      </x:c>
      <x:c r="E139" s="22" t="n">
        <x:v>31867</x:v>
      </x:c>
      <x:c r="F139" s="2" t="str">
        <x:v>BITRE actual</x:v>
      </x:c>
    </x:row>
    <x:row r="140" ht="22" customHeight="1">
      <x:c r="A140" s="2" t="str">
        <x:v>MEL-SGN</x:v>
      </x:c>
      <x:c r="B140" s="13" t="n">
        <x:v>45597</x:v>
      </x:c>
      <x:c r="C140" s="22" t="n">
        <x:v>18857</x:v>
      </x:c>
      <x:c r="D140" s="22" t="n">
        <x:v>21005</x:v>
      </x:c>
      <x:c r="E140" s="22" t="n">
        <x:v>39862</x:v>
      </x:c>
      <x:c r="F140" s="2" t="str">
        <x:v>BITRE actual</x:v>
      </x:c>
    </x:row>
    <x:row r="141" ht="22" customHeight="1">
      <x:c r="A141" s="2" t="str">
        <x:v>MEL-SIN</x:v>
      </x:c>
      <x:c r="B141" s="13" t="n">
        <x:v>45597</x:v>
      </x:c>
      <x:c r="C141" s="22" t="n">
        <x:v>74772</x:v>
      </x:c>
      <x:c r="D141" s="22" t="n">
        <x:v>76134</x:v>
      </x:c>
      <x:c r="E141" s="22" t="n">
        <x:v>150906</x:v>
      </x:c>
      <x:c r="F141" s="2" t="str">
        <x:v>BITRE actual</x:v>
      </x:c>
    </x:row>
    <x:row r="142" ht="22" customHeight="1">
      <x:c r="A142" s="2" t="str">
        <x:v>SYD-SEL</x:v>
      </x:c>
      <x:c r="B142" s="13" t="n">
        <x:v>45597</x:v>
      </x:c>
      <x:c r="C142" s="22" t="n">
        <x:v>32318</x:v>
      </x:c>
      <x:c r="D142" s="22" t="n">
        <x:v>31308</x:v>
      </x:c>
      <x:c r="E142" s="22" t="n">
        <x:v>63626</x:v>
      </x:c>
      <x:c r="F142" s="2" t="str">
        <x:v>BITRE actual</x:v>
      </x:c>
    </x:row>
    <x:row r="143" ht="22" customHeight="1">
      <x:c r="A143" s="2" t="str">
        <x:v>SYD-TYO</x:v>
      </x:c>
      <x:c r="B143" s="13" t="n">
        <x:v>45597</x:v>
      </x:c>
      <x:c r="C143" s="22" t="n">
        <x:v>33125</x:v>
      </x:c>
      <x:c r="D143" s="22" t="n">
        <x:v>33576</x:v>
      </x:c>
      <x:c r="E143" s="22" t="n">
        <x:v>66701</x:v>
      </x:c>
      <x:c r="F143" s="2" t="str">
        <x:v>BITRE actual</x:v>
      </x:c>
    </x:row>
    <x:row r="144" ht="22" customHeight="1">
      <x:c r="A144" s="2" t="str">
        <x:v>BNE-AKL</x:v>
      </x:c>
      <x:c r="B144" s="13" t="n">
        <x:v>45627</x:v>
      </x:c>
      <x:c r="C144" s="22" t="n">
        <x:v>41103</x:v>
      </x:c>
      <x:c r="D144" s="22" t="n">
        <x:v>44883</x:v>
      </x:c>
      <x:c r="E144" s="22" t="n">
        <x:v>85986</x:v>
      </x:c>
      <x:c r="F144" s="2" t="str">
        <x:v>BITRE actual</x:v>
      </x:c>
    </x:row>
    <x:row r="145" ht="22" customHeight="1">
      <x:c r="A145" s="2" t="str">
        <x:v>BNE-TYO</x:v>
      </x:c>
      <x:c r="B145" s="13" t="n">
        <x:v>45627</x:v>
      </x:c>
      <x:c r="C145" s="22" t="n">
        <x:v>16232</x:v>
      </x:c>
      <x:c r="D145" s="22" t="n">
        <x:v>18064</x:v>
      </x:c>
      <x:c r="E145" s="22" t="n">
        <x:v>34296</x:v>
      </x:c>
      <x:c r="F145" s="2" t="str">
        <x:v>BITRE actual</x:v>
      </x:c>
    </x:row>
    <x:row r="146" ht="22" customHeight="1">
      <x:c r="A146" s="2" t="str">
        <x:v>MEL-SGN</x:v>
      </x:c>
      <x:c r="B146" s="13" t="n">
        <x:v>45627</x:v>
      </x:c>
      <x:c r="C146" s="22" t="n">
        <x:v>18833</x:v>
      </x:c>
      <x:c r="D146" s="22" t="n">
        <x:v>25542</x:v>
      </x:c>
      <x:c r="E146" s="22" t="n">
        <x:v>44375</x:v>
      </x:c>
      <x:c r="F146" s="2" t="str">
        <x:v>BITRE actual</x:v>
      </x:c>
    </x:row>
    <x:row r="147" ht="22" customHeight="1">
      <x:c r="A147" s="2" t="str">
        <x:v>MEL-SIN</x:v>
      </x:c>
      <x:c r="B147" s="13" t="n">
        <x:v>45627</x:v>
      </x:c>
      <x:c r="C147" s="22" t="n">
        <x:v>74033</x:v>
      </x:c>
      <x:c r="D147" s="22" t="n">
        <x:v>91078</x:v>
      </x:c>
      <x:c r="E147" s="22" t="n">
        <x:v>165111</x:v>
      </x:c>
      <x:c r="F147" s="2" t="str">
        <x:v>BITRE actual</x:v>
      </x:c>
    </x:row>
    <x:row r="148" ht="22" customHeight="1">
      <x:c r="A148" s="2" t="str">
        <x:v>SYD-SEL</x:v>
      </x:c>
      <x:c r="B148" s="13" t="n">
        <x:v>45627</x:v>
      </x:c>
      <x:c r="C148" s="22" t="n">
        <x:v>35928</x:v>
      </x:c>
      <x:c r="D148" s="22" t="n">
        <x:v>41867</x:v>
      </x:c>
      <x:c r="E148" s="22" t="n">
        <x:v>77795</x:v>
      </x:c>
      <x:c r="F148" s="2" t="str">
        <x:v>BITRE actual</x:v>
      </x:c>
    </x:row>
    <x:row r="149" ht="22" customHeight="1">
      <x:c r="A149" s="2" t="str">
        <x:v>SYD-TYO</x:v>
      </x:c>
      <x:c r="B149" s="13" t="n">
        <x:v>45627</x:v>
      </x:c>
      <x:c r="C149" s="22" t="n">
        <x:v>30709</x:v>
      </x:c>
      <x:c r="D149" s="22" t="n">
        <x:v>37282</x:v>
      </x:c>
      <x:c r="E149" s="22" t="n">
        <x:v>67991</x:v>
      </x:c>
      <x:c r="F149" s="2" t="str">
        <x:v>BITRE actual</x:v>
      </x:c>
    </x:row>
    <x:row r="150" ht="22" customHeight="1">
      <x:c r="A150" s="2" t="str">
        <x:v>BNE-AKL</x:v>
      </x:c>
      <x:c r="B150" s="13" t="n">
        <x:v>45658</x:v>
      </x:c>
      <x:c r="C150" s="22" t="n">
        <x:v>44924</x:v>
      </x:c>
      <x:c r="D150" s="22" t="n">
        <x:v>42780</x:v>
      </x:c>
      <x:c r="E150" s="22" t="n">
        <x:v>87704</x:v>
      </x:c>
      <x:c r="F150" s="2" t="str">
        <x:v>BITRE actual</x:v>
      </x:c>
    </x:row>
    <x:row r="151" ht="22" customHeight="1">
      <x:c r="A151" s="2" t="str">
        <x:v>BNE-TYO</x:v>
      </x:c>
      <x:c r="B151" s="13" t="n">
        <x:v>45658</x:v>
      </x:c>
      <x:c r="C151" s="22" t="n">
        <x:v>18307</x:v>
      </x:c>
      <x:c r="D151" s="22" t="n">
        <x:v>17168</x:v>
      </x:c>
      <x:c r="E151" s="22" t="n">
        <x:v>35475</x:v>
      </x:c>
      <x:c r="F151" s="2" t="str">
        <x:v>BITRE actual</x:v>
      </x:c>
    </x:row>
    <x:row r="152" ht="22" customHeight="1">
      <x:c r="A152" s="2" t="str">
        <x:v>MEL-SGN</x:v>
      </x:c>
      <x:c r="B152" s="13" t="n">
        <x:v>45658</x:v>
      </x:c>
      <x:c r="C152" s="22" t="n">
        <x:v>25867</x:v>
      </x:c>
      <x:c r="D152" s="22" t="n">
        <x:v>21970</x:v>
      </x:c>
      <x:c r="E152" s="22" t="n">
        <x:v>47837</x:v>
      </x:c>
      <x:c r="F152" s="2" t="str">
        <x:v>BITRE actual</x:v>
      </x:c>
    </x:row>
    <x:row r="153" ht="22" customHeight="1">
      <x:c r="A153" s="2" t="str">
        <x:v>MEL-SIN</x:v>
      </x:c>
      <x:c r="B153" s="13" t="n">
        <x:v>45658</x:v>
      </x:c>
      <x:c r="C153" s="22" t="n">
        <x:v>90926</x:v>
      </x:c>
      <x:c r="D153" s="22" t="n">
        <x:v>79543</x:v>
      </x:c>
      <x:c r="E153" s="22" t="n">
        <x:v>170469</x:v>
      </x:c>
      <x:c r="F153" s="2" t="str">
        <x:v>BITRE actual</x:v>
      </x:c>
    </x:row>
    <x:row r="154" ht="22" customHeight="1">
      <x:c r="A154" s="2" t="str">
        <x:v>SYD-SEL</x:v>
      </x:c>
      <x:c r="B154" s="13" t="n">
        <x:v>45658</x:v>
      </x:c>
      <x:c r="C154" s="22" t="n">
        <x:v>41728</x:v>
      </x:c>
      <x:c r="D154" s="22" t="n">
        <x:v>35603</x:v>
      </x:c>
      <x:c r="E154" s="22" t="n">
        <x:v>77331</x:v>
      </x:c>
      <x:c r="F154" s="2" t="str">
        <x:v>BITRE actual</x:v>
      </x:c>
    </x:row>
    <x:row r="155" ht="22" customHeight="1">
      <x:c r="A155" s="2" t="str">
        <x:v>SYD-TYO</x:v>
      </x:c>
      <x:c r="B155" s="13" t="n">
        <x:v>45658</x:v>
      </x:c>
      <x:c r="C155" s="22" t="n">
        <x:v>37754</x:v>
      </x:c>
      <x:c r="D155" s="22" t="n">
        <x:v>34935</x:v>
      </x:c>
      <x:c r="E155" s="22" t="n">
        <x:v>72689</x:v>
      </x:c>
      <x:c r="F155" s="2" t="str">
        <x:v>BITRE actual</x:v>
      </x:c>
    </x:row>
    <x:row r="156" ht="22" customHeight="1">
      <x:c r="A156" s="2" t="str">
        <x:v>BNE-AKL</x:v>
      </x:c>
      <x:c r="B156" s="13" t="n">
        <x:v>45689</x:v>
      </x:c>
      <x:c r="C156" s="22" t="n">
        <x:v>32753</x:v>
      </x:c>
      <x:c r="D156" s="22" t="n">
        <x:v>33701</x:v>
      </x:c>
      <x:c r="E156" s="22" t="n">
        <x:v>66454</x:v>
      </x:c>
      <x:c r="F156" s="2" t="str">
        <x:v>BITRE actual</x:v>
      </x:c>
    </x:row>
    <x:row r="157" ht="22" customHeight="1">
      <x:c r="A157" s="2" t="str">
        <x:v>BNE-TYO</x:v>
      </x:c>
      <x:c r="B157" s="13" t="n">
        <x:v>45689</x:v>
      </x:c>
      <x:c r="C157" s="22" t="n">
        <x:v>16803</x:v>
      </x:c>
      <x:c r="D157" s="22" t="n">
        <x:v>14997</x:v>
      </x:c>
      <x:c r="E157" s="22" t="n">
        <x:v>31800</x:v>
      </x:c>
      <x:c r="F157" s="2" t="str">
        <x:v>BITRE actual</x:v>
      </x:c>
    </x:row>
    <x:row r="158" ht="22" customHeight="1">
      <x:c r="A158" s="2" t="str">
        <x:v>MEL-SGN</x:v>
      </x:c>
      <x:c r="B158" s="13" t="n">
        <x:v>45689</x:v>
      </x:c>
      <x:c r="C158" s="22" t="n">
        <x:v>23708</x:v>
      </x:c>
      <x:c r="D158" s="22" t="n">
        <x:v>15321</x:v>
      </x:c>
      <x:c r="E158" s="22" t="n">
        <x:v>39029</x:v>
      </x:c>
      <x:c r="F158" s="2" t="str">
        <x:v>BITRE actual</x:v>
      </x:c>
    </x:row>
    <x:row r="159" ht="22" customHeight="1">
      <x:c r="A159" s="2" t="str">
        <x:v>MEL-SIN</x:v>
      </x:c>
      <x:c r="B159" s="13" t="n">
        <x:v>45689</x:v>
      </x:c>
      <x:c r="C159" s="22" t="n">
        <x:v>76563</x:v>
      </x:c>
      <x:c r="D159" s="22" t="n">
        <x:v>58864</x:v>
      </x:c>
      <x:c r="E159" s="22" t="n">
        <x:v>135427</x:v>
      </x:c>
      <x:c r="F159" s="2" t="str">
        <x:v>BITRE actual</x:v>
      </x:c>
    </x:row>
    <x:row r="160" ht="22" customHeight="1">
      <x:c r="A160" s="2" t="str">
        <x:v>SYD-SEL</x:v>
      </x:c>
      <x:c r="B160" s="13" t="n">
        <x:v>45689</x:v>
      </x:c>
      <x:c r="C160" s="22" t="n">
        <x:v>37242</x:v>
      </x:c>
      <x:c r="D160" s="22" t="n">
        <x:v>32205</x:v>
      </x:c>
      <x:c r="E160" s="22" t="n">
        <x:v>69447</x:v>
      </x:c>
      <x:c r="F160" s="2" t="str">
        <x:v>BITRE actual</x:v>
      </x:c>
    </x:row>
    <x:row r="161" ht="22" customHeight="1">
      <x:c r="A161" s="2" t="str">
        <x:v>SYD-TYO</x:v>
      </x:c>
      <x:c r="B161" s="13" t="n">
        <x:v>45689</x:v>
      </x:c>
      <x:c r="C161" s="22" t="n">
        <x:v>35130</x:v>
      </x:c>
      <x:c r="D161" s="22" t="n">
        <x:v>31216</x:v>
      </x:c>
      <x:c r="E161" s="22" t="n">
        <x:v>66346</x:v>
      </x:c>
      <x:c r="F161" s="2" t="str">
        <x:v>BITRE actual</x:v>
      </x:c>
    </x:row>
    <x:row r="162" ht="22" customHeight="1">
      <x:c r="A162" s="2" t="str">
        <x:v>BNE-AKL</x:v>
      </x:c>
      <x:c r="B162" s="13" t="n">
        <x:v>45717</x:v>
      </x:c>
      <x:c r="C162" s="22" t="n">
        <x:v>34907</x:v>
      </x:c>
      <x:c r="D162" s="22" t="n">
        <x:v>32476</x:v>
      </x:c>
      <x:c r="E162" s="22" t="n">
        <x:v>67383</x:v>
      </x:c>
      <x:c r="F162" s="2" t="str">
        <x:v>BITRE actual</x:v>
      </x:c>
    </x:row>
    <x:row r="163" ht="22" customHeight="1">
      <x:c r="A163" s="2" t="str">
        <x:v>BNE-TYO</x:v>
      </x:c>
      <x:c r="B163" s="13" t="n">
        <x:v>45717</x:v>
      </x:c>
      <x:c r="C163" s="22" t="n">
        <x:v>15943</x:v>
      </x:c>
      <x:c r="D163" s="22" t="n">
        <x:v>16036</x:v>
      </x:c>
      <x:c r="E163" s="22" t="n">
        <x:v>31979</x:v>
      </x:c>
      <x:c r="F163" s="2" t="str">
        <x:v>BITRE actual</x:v>
      </x:c>
    </x:row>
    <x:row r="164" ht="22" customHeight="1">
      <x:c r="A164" s="2" t="str">
        <x:v>MEL-SGN</x:v>
      </x:c>
      <x:c r="B164" s="13" t="n">
        <x:v>45717</x:v>
      </x:c>
      <x:c r="C164" s="22" t="n">
        <x:v>21213</x:v>
      </x:c>
      <x:c r="D164" s="22" t="n">
        <x:v>18601</x:v>
      </x:c>
      <x:c r="E164" s="22" t="n">
        <x:v>39814</x:v>
      </x:c>
      <x:c r="F164" s="2" t="str">
        <x:v>BITRE actual</x:v>
      </x:c>
    </x:row>
    <x:row r="165" ht="22" customHeight="1">
      <x:c r="A165" s="2" t="str">
        <x:v>MEL-SIN</x:v>
      </x:c>
      <x:c r="B165" s="13" t="n">
        <x:v>45717</x:v>
      </x:c>
      <x:c r="C165" s="22" t="n">
        <x:v>70542</x:v>
      </x:c>
      <x:c r="D165" s="22" t="n">
        <x:v>65432</x:v>
      </x:c>
      <x:c r="E165" s="22" t="n">
        <x:v>135974</x:v>
      </x:c>
      <x:c r="F165" s="2" t="str">
        <x:v>BITRE actual</x:v>
      </x:c>
    </x:row>
    <x:row r="166" ht="22" customHeight="1">
      <x:c r="A166" s="2" t="str">
        <x:v>SYD-SEL</x:v>
      </x:c>
      <x:c r="B166" s="13" t="n">
        <x:v>45717</x:v>
      </x:c>
      <x:c r="C166" s="22" t="n">
        <x:v>27133</x:v>
      </x:c>
      <x:c r="D166" s="22" t="n">
        <x:v>33249</x:v>
      </x:c>
      <x:c r="E166" s="22" t="n">
        <x:v>60382</x:v>
      </x:c>
      <x:c r="F166" s="2" t="str">
        <x:v>BITRE actual</x:v>
      </x:c>
    </x:row>
    <x:row r="167" ht="22" customHeight="1">
      <x:c r="A167" s="2" t="str">
        <x:v>SYD-TYO</x:v>
      </x:c>
      <x:c r="B167" s="13" t="n">
        <x:v>45717</x:v>
      </x:c>
      <x:c r="C167" s="22" t="n">
        <x:v>33955</x:v>
      </x:c>
      <x:c r="D167" s="22" t="n">
        <x:v>35405</x:v>
      </x:c>
      <x:c r="E167" s="22" t="n">
        <x:v>69360</x:v>
      </x:c>
      <x:c r="F167" s="2" t="str">
        <x:v>BITRE actual</x:v>
      </x:c>
    </x:row>
    <x:row r="168" ht="22" customHeight="1">
      <x:c r="A168" s="2" t="str">
        <x:v>BNE-AKL</x:v>
      </x:c>
      <x:c r="B168" s="13" t="n">
        <x:v>45748</x:v>
      </x:c>
      <x:c r="C168" s="22" t="n">
        <x:v>40186</x:v>
      </x:c>
      <x:c r="D168" s="22" t="n">
        <x:v>38429</x:v>
      </x:c>
      <x:c r="E168" s="22" t="n">
        <x:v>78615</x:v>
      </x:c>
      <x:c r="F168" s="2" t="str">
        <x:v>BITRE actual</x:v>
      </x:c>
    </x:row>
    <x:row r="169" ht="22" customHeight="1">
      <x:c r="A169" s="2" t="str">
        <x:v>BNE-TYO</x:v>
      </x:c>
      <x:c r="B169" s="13" t="n">
        <x:v>45748</x:v>
      </x:c>
      <x:c r="C169" s="22" t="n">
        <x:v>15568</x:v>
      </x:c>
      <x:c r="D169" s="22" t="n">
        <x:v>15936</x:v>
      </x:c>
      <x:c r="E169" s="22" t="n">
        <x:v>31504</x:v>
      </x:c>
      <x:c r="F169" s="2" t="str">
        <x:v>BITRE actual</x:v>
      </x:c>
    </x:row>
    <x:row r="170" ht="22" customHeight="1">
      <x:c r="A170" s="2" t="str">
        <x:v>MEL-SGN</x:v>
      </x:c>
      <x:c r="B170" s="13" t="n">
        <x:v>45748</x:v>
      </x:c>
      <x:c r="C170" s="22" t="n">
        <x:v>19984</x:v>
      </x:c>
      <x:c r="D170" s="22" t="n">
        <x:v>19431</x:v>
      </x:c>
      <x:c r="E170" s="22" t="n">
        <x:v>39415</x:v>
      </x:c>
      <x:c r="F170" s="2" t="str">
        <x:v>BITRE actual</x:v>
      </x:c>
    </x:row>
    <x:row r="171" ht="22" customHeight="1">
      <x:c r="A171" s="2" t="str">
        <x:v>MEL-SIN</x:v>
      </x:c>
      <x:c r="B171" s="13" t="n">
        <x:v>45748</x:v>
      </x:c>
      <x:c r="C171" s="22" t="n">
        <x:v>68953</x:v>
      </x:c>
      <x:c r="D171" s="22" t="n">
        <x:v>73447</x:v>
      </x:c>
      <x:c r="E171" s="22" t="n">
        <x:v>142400</x:v>
      </x:c>
      <x:c r="F171" s="2" t="str">
        <x:v>BITRE actual</x:v>
      </x:c>
    </x:row>
    <x:row r="172" ht="22" customHeight="1">
      <x:c r="A172" s="2" t="str">
        <x:v>SYD-SEL</x:v>
      </x:c>
      <x:c r="B172" s="13" t="n">
        <x:v>45748</x:v>
      </x:c>
      <x:c r="C172" s="22" t="n">
        <x:v>27253</x:v>
      </x:c>
      <x:c r="D172" s="22" t="n">
        <x:v>29066</x:v>
      </x:c>
      <x:c r="E172" s="22" t="n">
        <x:v>56319</x:v>
      </x:c>
      <x:c r="F172" s="2" t="str">
        <x:v>BITRE actual</x:v>
      </x:c>
    </x:row>
    <x:row r="173" ht="22" customHeight="1">
      <x:c r="A173" s="2" t="str">
        <x:v>SYD-TYO</x:v>
      </x:c>
      <x:c r="B173" s="13" t="n">
        <x:v>45748</x:v>
      </x:c>
      <x:c r="C173" s="22" t="n">
        <x:v>30798</x:v>
      </x:c>
      <x:c r="D173" s="22" t="n">
        <x:v>32183</x:v>
      </x:c>
      <x:c r="E173" s="22" t="n">
        <x:v>62981</x:v>
      </x:c>
      <x:c r="F173" s="2" t="str">
        <x:v>BITRE actual</x:v>
      </x:c>
    </x:row>
    <x:row r="174" ht="22" customHeight="1">
      <x:c r="A174" s="2" t="str">
        <x:v>BNE-AKL</x:v>
      </x:c>
      <x:c r="B174" s="13" t="n">
        <x:v>45778</x:v>
      </x:c>
      <x:c r="C174" s="22" t="n">
        <x:v>38921</x:v>
      </x:c>
      <x:c r="D174" s="22" t="n">
        <x:v>35910</x:v>
      </x:c>
      <x:c r="E174" s="22" t="n">
        <x:v>74831</x:v>
      </x:c>
      <x:c r="F174" s="2" t="str">
        <x:v>BITRE actual</x:v>
      </x:c>
    </x:row>
    <x:row r="175" ht="22" customHeight="1">
      <x:c r="A175" s="2" t="str">
        <x:v>BNE-TYO</x:v>
      </x:c>
      <x:c r="B175" s="13" t="n">
        <x:v>45778</x:v>
      </x:c>
      <x:c r="C175" s="22" t="n">
        <x:v>15380</x:v>
      </x:c>
      <x:c r="D175" s="22" t="n">
        <x:v>14314</x:v>
      </x:c>
      <x:c r="E175" s="22" t="n">
        <x:v>29694</x:v>
      </x:c>
      <x:c r="F175" s="2" t="str">
        <x:v>BITRE actual</x:v>
      </x:c>
    </x:row>
    <x:row r="176" ht="22" customHeight="1">
      <x:c r="A176" s="2" t="str">
        <x:v>MEL-SGN</x:v>
      </x:c>
      <x:c r="B176" s="13" t="n">
        <x:v>45778</x:v>
      </x:c>
      <x:c r="C176" s="22" t="n">
        <x:v>18374</x:v>
      </x:c>
      <x:c r="D176" s="22" t="n">
        <x:v>17684</x:v>
      </x:c>
      <x:c r="E176" s="22" t="n">
        <x:v>36058</x:v>
      </x:c>
      <x:c r="F176" s="2" t="str">
        <x:v>BITRE actual</x:v>
      </x:c>
    </x:row>
    <x:row r="177" ht="22" customHeight="1">
      <x:c r="A177" s="2" t="str">
        <x:v>MEL-SIN</x:v>
      </x:c>
      <x:c r="B177" s="13" t="n">
        <x:v>45778</x:v>
      </x:c>
      <x:c r="C177" s="22" t="n">
        <x:v>68479</x:v>
      </x:c>
      <x:c r="D177" s="22" t="n">
        <x:v>71556</x:v>
      </x:c>
      <x:c r="E177" s="22" t="n">
        <x:v>140035</x:v>
      </x:c>
      <x:c r="F177" s="2" t="str">
        <x:v>BITRE actual</x:v>
      </x:c>
    </x:row>
    <x:row r="178" ht="22" customHeight="1">
      <x:c r="A178" s="2" t="str">
        <x:v>SYD-SEL</x:v>
      </x:c>
      <x:c r="B178" s="13" t="n">
        <x:v>45778</x:v>
      </x:c>
      <x:c r="C178" s="22" t="n">
        <x:v>24648</x:v>
      </x:c>
      <x:c r="D178" s="22" t="n">
        <x:v>25338</x:v>
      </x:c>
      <x:c r="E178" s="22" t="n">
        <x:v>49986</x:v>
      </x:c>
      <x:c r="F178" s="2" t="str">
        <x:v>BITRE actual</x:v>
      </x:c>
    </x:row>
    <x:row r="179" ht="22" customHeight="1">
      <x:c r="A179" s="2" t="str">
        <x:v>SYD-TYO</x:v>
      </x:c>
      <x:c r="B179" s="13" t="n">
        <x:v>45778</x:v>
      </x:c>
      <x:c r="C179" s="22" t="n">
        <x:v>30730</x:v>
      </x:c>
      <x:c r="D179" s="22" t="n">
        <x:v>30808</x:v>
      </x:c>
      <x:c r="E179" s="22" t="n">
        <x:v>61538</x:v>
      </x:c>
      <x:c r="F179" s="2" t="str">
        <x:v>BITRE actual</x:v>
      </x:c>
    </x:row>
    <x:row r="180" ht="22" customHeight="1">
      <x:c r="A180" s="2" t="str">
        <x:v>BNE-AKL</x:v>
      </x:c>
      <x:c r="B180" s="13" t="n">
        <x:v>45809</x:v>
      </x:c>
      <x:c r="C180" s="22" t="n">
        <x:v>35740</x:v>
      </x:c>
      <x:c r="D180" s="22" t="n">
        <x:v>35713</x:v>
      </x:c>
      <x:c r="E180" s="22" t="n">
        <x:v>71453</x:v>
      </x:c>
      <x:c r="F180" s="2" t="str">
        <x:v>BITRE actual</x:v>
      </x:c>
    </x:row>
    <x:row r="181" ht="22" customHeight="1">
      <x:c r="A181" s="2" t="str">
        <x:v>BNE-TYO</x:v>
      </x:c>
      <x:c r="B181" s="13" t="n">
        <x:v>45809</x:v>
      </x:c>
      <x:c r="C181" s="22" t="n">
        <x:v>13860</x:v>
      </x:c>
      <x:c r="D181" s="22" t="n">
        <x:v>13582</x:v>
      </x:c>
      <x:c r="E181" s="22" t="n">
        <x:v>27442</x:v>
      </x:c>
      <x:c r="F181" s="2" t="str">
        <x:v>BITRE actual</x:v>
      </x:c>
    </x:row>
    <x:row r="182" ht="22" customHeight="1">
      <x:c r="A182" s="2" t="str">
        <x:v>MEL-SGN</x:v>
      </x:c>
      <x:c r="B182" s="13" t="n">
        <x:v>45809</x:v>
      </x:c>
      <x:c r="C182" s="22" t="n">
        <x:v>17395</x:v>
      </x:c>
      <x:c r="D182" s="22" t="n">
        <x:v>20272</x:v>
      </x:c>
      <x:c r="E182" s="22" t="n">
        <x:v>37667</x:v>
      </x:c>
      <x:c r="F182" s="2" t="str">
        <x:v>BITRE actual</x:v>
      </x:c>
    </x:row>
    <x:row r="183" ht="22" customHeight="1">
      <x:c r="A183" s="2" t="str">
        <x:v>MEL-SIN</x:v>
      </x:c>
      <x:c r="B183" s="13" t="n">
        <x:v>45809</x:v>
      </x:c>
      <x:c r="C183" s="22" t="n">
        <x:v>68455</x:v>
      </x:c>
      <x:c r="D183" s="22" t="n">
        <x:v>74233</x:v>
      </x:c>
      <x:c r="E183" s="22" t="n">
        <x:v>142688</x:v>
      </x:c>
      <x:c r="F183" s="2" t="str">
        <x:v>BITRE actual</x:v>
      </x:c>
    </x:row>
    <x:row r="184" ht="22" customHeight="1">
      <x:c r="A184" s="2" t="str">
        <x:v>SYD-SEL</x:v>
      </x:c>
      <x:c r="B184" s="13" t="n">
        <x:v>45809</x:v>
      </x:c>
      <x:c r="C184" s="22" t="n">
        <x:v>25197</x:v>
      </x:c>
      <x:c r="D184" s="22" t="n">
        <x:v>26939</x:v>
      </x:c>
      <x:c r="E184" s="22" t="n">
        <x:v>52136</x:v>
      </x:c>
      <x:c r="F184" s="2" t="str">
        <x:v>BITRE actual</x:v>
      </x:c>
    </x:row>
    <x:row r="185" ht="22" customHeight="1">
      <x:c r="A185" s="2" t="str">
        <x:v>SYD-TYO</x:v>
      </x:c>
      <x:c r="B185" s="13" t="n">
        <x:v>45809</x:v>
      </x:c>
      <x:c r="C185" s="22" t="n">
        <x:v>23236</x:v>
      </x:c>
      <x:c r="D185" s="22" t="n">
        <x:v>26197</x:v>
      </x:c>
      <x:c r="E185" s="22" t="n">
        <x:v>49433</x:v>
      </x:c>
      <x:c r="F185" s="2" t="str">
        <x:v>BITRE actual</x:v>
      </x:c>
    </x:row>
    <x:row r="186" ht="22" customHeight="1">
      <x:c r="A186" s="2" t="str">
        <x:v>BNE-AKL</x:v>
      </x:c>
      <x:c r="B186" s="13" t="n">
        <x:v>45839</x:v>
      </x:c>
      <x:c r="C186" s="22" t="n">
        <x:v>39102</x:v>
      </x:c>
      <x:c r="D186" s="22" t="n">
        <x:v>40743</x:v>
      </x:c>
      <x:c r="E186" s="22" t="n">
        <x:v>79845</x:v>
      </x:c>
      <x:c r="F186" s="2" t="str">
        <x:v>BITRE actual</x:v>
      </x:c>
    </x:row>
    <x:row r="187" ht="22" customHeight="1">
      <x:c r="A187" s="2" t="str">
        <x:v>BNE-TYO</x:v>
      </x:c>
      <x:c r="B187" s="13" t="n">
        <x:v>45839</x:v>
      </x:c>
      <x:c r="C187" s="22" t="n">
        <x:v>17095</x:v>
      </x:c>
      <x:c r="D187" s="22" t="n">
        <x:v>10661</x:v>
      </x:c>
      <x:c r="E187" s="22" t="n">
        <x:v>27756</x:v>
      </x:c>
      <x:c r="F187" s="2" t="str">
        <x:v>BITRE actual</x:v>
      </x:c>
    </x:row>
    <x:row r="188" ht="22" customHeight="1">
      <x:c r="A188" s="2" t="str">
        <x:v>MEL-SGN</x:v>
      </x:c>
      <x:c r="B188" s="13" t="n">
        <x:v>45839</x:v>
      </x:c>
      <x:c r="C188" s="22" t="n">
        <x:v>22592</x:v>
      </x:c>
      <x:c r="D188" s="22" t="n">
        <x:v>18992</x:v>
      </x:c>
      <x:c r="E188" s="22" t="n">
        <x:v>41584</x:v>
      </x:c>
      <x:c r="F188" s="2" t="str">
        <x:v>BITRE actual</x:v>
      </x:c>
    </x:row>
    <x:row r="189" ht="22" customHeight="1">
      <x:c r="A189" s="2" t="str">
        <x:v>MEL-SIN</x:v>
      </x:c>
      <x:c r="B189" s="13" t="n">
        <x:v>45839</x:v>
      </x:c>
      <x:c r="C189" s="22" t="n">
        <x:v>75808</x:v>
      </x:c>
      <x:c r="D189" s="22" t="n">
        <x:v>71795</x:v>
      </x:c>
      <x:c r="E189" s="22" t="n">
        <x:v>147603</x:v>
      </x:c>
      <x:c r="F189" s="2" t="str">
        <x:v>BITRE actual</x:v>
      </x:c>
    </x:row>
    <x:row r="190" ht="22" customHeight="1">
      <x:c r="A190" s="2" t="str">
        <x:v>SYD-SEL</x:v>
      </x:c>
      <x:c r="B190" s="13" t="n">
        <x:v>45839</x:v>
      </x:c>
      <x:c r="C190" s="22" t="n">
        <x:v>31846</x:v>
      </x:c>
      <x:c r="D190" s="22" t="n">
        <x:v>25250</x:v>
      </x:c>
      <x:c r="E190" s="22" t="n">
        <x:v>57096</x:v>
      </x:c>
      <x:c r="F190" s="2" t="str">
        <x:v>BITRE actual</x:v>
      </x:c>
    </x:row>
    <x:row r="191" ht="22" customHeight="1">
      <x:c r="A191" s="2" t="str">
        <x:v>SYD-TYO</x:v>
      </x:c>
      <x:c r="B191" s="13" t="n">
        <x:v>45839</x:v>
      </x:c>
      <x:c r="C191" s="22" t="n">
        <x:v>32407</x:v>
      </x:c>
      <x:c r="D191" s="22" t="n">
        <x:v>23952</x:v>
      </x:c>
      <x:c r="E191" s="22" t="n">
        <x:v>56359</x:v>
      </x:c>
      <x:c r="F191" s="2" t="str">
        <x:v>BITRE actual</x:v>
      </x:c>
    </x:row>
    <x:row r="192" ht="22" customHeight="1">
      <x:c r="A192" s="2" t="str">
        <x:v>BNE-AKL</x:v>
      </x:c>
      <x:c r="B192" s="13" t="n">
        <x:v>45870</x:v>
      </x:c>
      <x:c r="C192" s="22" t="n">
        <x:v>36432</x:v>
      </x:c>
      <x:c r="D192" s="22" t="n">
        <x:v>37038</x:v>
      </x:c>
      <x:c r="E192" s="22" t="n">
        <x:v>73470</x:v>
      </x:c>
      <x:c r="F192" s="2" t="str">
        <x:v>BITRE actual</x:v>
      </x:c>
    </x:row>
    <x:row r="193" ht="22" customHeight="1">
      <x:c r="A193" s="2" t="str">
        <x:v>BNE-TYO</x:v>
      </x:c>
      <x:c r="B193" s="13" t="n">
        <x:v>45870</x:v>
      </x:c>
      <x:c r="C193" s="22" t="n">
        <x:v>14516</x:v>
      </x:c>
      <x:c r="D193" s="22" t="n">
        <x:v>16292</x:v>
      </x:c>
      <x:c r="E193" s="22" t="n">
        <x:v>30808</x:v>
      </x:c>
      <x:c r="F193" s="2" t="str">
        <x:v>BITRE actual</x:v>
      </x:c>
    </x:row>
    <x:row r="194" ht="22" customHeight="1">
      <x:c r="A194" s="2" t="str">
        <x:v>MEL-SGN</x:v>
      </x:c>
      <x:c r="B194" s="13" t="n">
        <x:v>45870</x:v>
      </x:c>
      <x:c r="C194" s="22" t="n">
        <x:v>19600</x:v>
      </x:c>
      <x:c r="D194" s="22" t="n">
        <x:v>17354</x:v>
      </x:c>
      <x:c r="E194" s="22" t="n">
        <x:v>36954</x:v>
      </x:c>
      <x:c r="F194" s="2" t="str">
        <x:v>BITRE actual</x:v>
      </x:c>
    </x:row>
    <x:row r="195" ht="22" customHeight="1">
      <x:c r="A195" s="2" t="str">
        <x:v>MEL-SIN</x:v>
      </x:c>
      <x:c r="B195" s="13" t="n">
        <x:v>45870</x:v>
      </x:c>
      <x:c r="C195" s="22" t="n">
        <x:v>70182</x:v>
      </x:c>
      <x:c r="D195" s="22" t="n">
        <x:v>70683</x:v>
      </x:c>
      <x:c r="E195" s="22" t="n">
        <x:v>140865</x:v>
      </x:c>
      <x:c r="F195" s="2" t="str">
        <x:v>BITRE actual</x:v>
      </x:c>
    </x:row>
    <x:row r="196" ht="22" customHeight="1">
      <x:c r="A196" s="2" t="str">
        <x:v>SYD-SEL</x:v>
      </x:c>
      <x:c r="B196" s="13" t="n">
        <x:v>45870</x:v>
      </x:c>
      <x:c r="C196" s="22" t="n">
        <x:v>30730</x:v>
      </x:c>
      <x:c r="D196" s="22" t="n">
        <x:v>31527</x:v>
      </x:c>
      <x:c r="E196" s="22" t="n">
        <x:v>62257</x:v>
      </x:c>
      <x:c r="F196" s="2" t="str">
        <x:v>BITRE actual</x:v>
      </x:c>
    </x:row>
    <x:row r="197" ht="22" customHeight="1">
      <x:c r="A197" s="2" t="str">
        <x:v>SYD-TYO</x:v>
      </x:c>
      <x:c r="B197" s="13" t="n">
        <x:v>45870</x:v>
      </x:c>
      <x:c r="C197" s="22" t="n">
        <x:v>28312</x:v>
      </x:c>
      <x:c r="D197" s="22" t="n">
        <x:v>32008</x:v>
      </x:c>
      <x:c r="E197" s="22" t="n">
        <x:v>60320</x:v>
      </x:c>
      <x:c r="F197" s="2" t="str">
        <x:v>BITRE actual</x:v>
      </x:c>
    </x:row>
    <x:row r="198" ht="22" customHeight="1">
      <x:c r="A198" s="2" t="str">
        <x:v>BNE-AKL</x:v>
      </x:c>
      <x:c r="B198" s="13" t="n">
        <x:v>45901</x:v>
      </x:c>
      <x:c r="C198" s="22" t="n">
        <x:v>39855</x:v>
      </x:c>
      <x:c r="D198" s="22" t="n">
        <x:v>41216</x:v>
      </x:c>
      <x:c r="E198" s="22" t="n">
        <x:v>81071</x:v>
      </x:c>
      <x:c r="F198" s="2" t="str">
        <x:v>BITRE actual</x:v>
      </x:c>
    </x:row>
    <x:row r="199" ht="22" customHeight="1">
      <x:c r="A199" s="2" t="str">
        <x:v>BNE-TYO</x:v>
      </x:c>
      <x:c r="B199" s="13" t="n">
        <x:v>45901</x:v>
      </x:c>
      <x:c r="C199" s="22" t="n">
        <x:v>13577</x:v>
      </x:c>
      <x:c r="D199" s="22" t="n">
        <x:v>16273</x:v>
      </x:c>
      <x:c r="E199" s="22" t="n">
        <x:v>29850</x:v>
      </x:c>
      <x:c r="F199" s="2" t="str">
        <x:v>BITRE actual</x:v>
      </x:c>
    </x:row>
    <x:row r="200" ht="22" customHeight="1">
      <x:c r="A200" s="2" t="str">
        <x:v>MEL-SGN</x:v>
      </x:c>
      <x:c r="B200" s="13" t="n">
        <x:v>45901</x:v>
      </x:c>
      <x:c r="C200" s="22" t="n">
        <x:v>17196</x:v>
      </x:c>
      <x:c r="D200" s="22" t="n">
        <x:v>18637</x:v>
      </x:c>
      <x:c r="E200" s="22" t="n">
        <x:v>35833</x:v>
      </x:c>
      <x:c r="F200" s="2" t="str">
        <x:v>BITRE actual</x:v>
      </x:c>
    </x:row>
    <x:row r="201" ht="22" customHeight="1">
      <x:c r="A201" s="2" t="str">
        <x:v>MEL-SIN</x:v>
      </x:c>
      <x:c r="B201" s="13" t="n">
        <x:v>45901</x:v>
      </x:c>
      <x:c r="C201" s="22" t="n">
        <x:v>71050</x:v>
      </x:c>
      <x:c r="D201" s="22" t="n">
        <x:v>73626</x:v>
      </x:c>
      <x:c r="E201" s="22" t="n">
        <x:v>144676</x:v>
      </x:c>
      <x:c r="F201" s="2" t="str">
        <x:v>BITRE actual</x:v>
      </x:c>
    </x:row>
    <x:row r="202" ht="22" customHeight="1">
      <x:c r="A202" s="2" t="str">
        <x:v>SYD-SEL</x:v>
      </x:c>
      <x:c r="B202" s="13" t="n">
        <x:v>45901</x:v>
      </x:c>
      <x:c r="C202" s="22" t="n">
        <x:v>28836</x:v>
      </x:c>
      <x:c r="D202" s="22" t="n">
        <x:v>30515</x:v>
      </x:c>
      <x:c r="E202" s="22" t="n">
        <x:v>59351</x:v>
      </x:c>
      <x:c r="F202" s="2" t="str">
        <x:v>BITRE actual</x:v>
      </x:c>
    </x:row>
    <x:row r="203" ht="22" customHeight="1">
      <x:c r="A203" s="2" t="str">
        <x:v>SYD-TYO</x:v>
      </x:c>
      <x:c r="B203" s="13" t="n">
        <x:v>45901</x:v>
      </x:c>
      <x:c r="C203" s="22" t="n">
        <x:v>27802</x:v>
      </x:c>
      <x:c r="D203" s="22" t="n">
        <x:v>34628</x:v>
      </x:c>
      <x:c r="E203" s="22" t="n">
        <x:v>62430</x:v>
      </x:c>
      <x:c r="F203" s="2" t="str">
        <x:v>BITRE actual</x:v>
      </x:c>
    </x:row>
    <x:row r="204" ht="22" customHeight="1">
      <x:c r="A204" s="2" t="str">
        <x:v>BNE-AKL</x:v>
      </x:c>
      <x:c r="B204" s="13" t="n">
        <x:v>45931</x:v>
      </x:c>
      <x:c r="C204" s="22" t="n">
        <x:v>40154</x:v>
      </x:c>
      <x:c r="D204" s="22" t="n">
        <x:v>43488</x:v>
      </x:c>
      <x:c r="E204" s="22" t="n">
        <x:v>83642</x:v>
      </x:c>
      <x:c r="F204" s="2" t="str">
        <x:v>BITRE actual</x:v>
      </x:c>
    </x:row>
    <x:row r="205" ht="22" customHeight="1">
      <x:c r="A205" s="2" t="str">
        <x:v>BNE-TYO</x:v>
      </x:c>
      <x:c r="B205" s="13" t="n">
        <x:v>45931</x:v>
      </x:c>
      <x:c r="C205" s="22" t="n">
        <x:v>17335</x:v>
      </x:c>
      <x:c r="D205" s="22" t="n">
        <x:v>15702</x:v>
      </x:c>
      <x:c r="E205" s="22" t="n">
        <x:v>33037</x:v>
      </x:c>
      <x:c r="F205" s="2" t="str">
        <x:v>BITRE actual</x:v>
      </x:c>
    </x:row>
    <x:row r="206" ht="22" customHeight="1">
      <x:c r="A206" s="2" t="str">
        <x:v>MEL-SGN</x:v>
      </x:c>
      <x:c r="B206" s="13" t="n">
        <x:v>45931</x:v>
      </x:c>
      <x:c r="C206" s="22" t="n">
        <x:v>20391</x:v>
      </x:c>
      <x:c r="D206" s="22" t="n">
        <x:v>18709</x:v>
      </x:c>
      <x:c r="E206" s="22" t="n">
        <x:v>39100</x:v>
      </x:c>
      <x:c r="F206" s="2" t="str">
        <x:v>BITRE actual</x:v>
      </x:c>
    </x:row>
    <x:row r="207" ht="22" customHeight="1">
      <x:c r="A207" s="2" t="str">
        <x:v>MEL-SIN</x:v>
      </x:c>
      <x:c r="B207" s="13" t="n">
        <x:v>45931</x:v>
      </x:c>
      <x:c r="C207" s="22" t="n">
        <x:v>76326</x:v>
      </x:c>
      <x:c r="D207" s="22" t="n">
        <x:v>66850</x:v>
      </x:c>
      <x:c r="E207" s="22" t="n">
        <x:v>143176</x:v>
      </x:c>
      <x:c r="F207" s="2" t="str">
        <x:v>BITRE actual</x:v>
      </x:c>
    </x:row>
    <x:row r="208" ht="22" customHeight="1">
      <x:c r="A208" s="2" t="str">
        <x:v>SYD-SEL</x:v>
      </x:c>
      <x:c r="B208" s="13" t="n">
        <x:v>45931</x:v>
      </x:c>
      <x:c r="C208" s="22" t="n">
        <x:v>35346</x:v>
      </x:c>
      <x:c r="D208" s="22" t="n">
        <x:v>33462</x:v>
      </x:c>
      <x:c r="E208" s="22" t="n">
        <x:v>68808</x:v>
      </x:c>
      <x:c r="F208" s="2" t="str">
        <x:v>BITRE actual</x:v>
      </x:c>
    </x:row>
    <x:row r="209" ht="22" customHeight="1">
      <x:c r="A209" s="2" t="str">
        <x:v>SYD-TYO</x:v>
      </x:c>
      <x:c r="B209" s="13" t="n">
        <x:v>45931</x:v>
      </x:c>
      <x:c r="C209" s="22" t="n">
        <x:v>37731</x:v>
      </x:c>
      <x:c r="D209" s="22" t="n">
        <x:v>35466</x:v>
      </x:c>
      <x:c r="E209" s="22" t="n">
        <x:v>73197</x:v>
      </x:c>
      <x:c r="F209" s="2" t="str">
        <x:v>BITRE actual</x:v>
      </x:c>
    </x:row>
    <x:row r="210" ht="22" customHeight="1">
      <x:c r="A210" s="2" t="str">
        <x:v>BNE-AKL</x:v>
      </x:c>
      <x:c r="B210" s="13" t="n">
        <x:v>45962</x:v>
      </x:c>
      <x:c r="C210" s="22" t="n">
        <x:v>37159</x:v>
      </x:c>
      <x:c r="D210" s="22" t="n">
        <x:v>39865</x:v>
      </x:c>
      <x:c r="E210" s="22" t="n">
        <x:v>77024</x:v>
      </x:c>
      <x:c r="F210" s="2" t="str">
        <x:v>BITRE actual</x:v>
      </x:c>
    </x:row>
    <x:row r="211" ht="22" customHeight="1">
      <x:c r="A211" s="2" t="str">
        <x:v>BNE-TYO</x:v>
      </x:c>
      <x:c r="B211" s="13" t="n">
        <x:v>45962</x:v>
      </x:c>
      <x:c r="C211" s="22" t="n">
        <x:v>16089</x:v>
      </x:c>
      <x:c r="D211" s="22" t="n">
        <x:v>15977</x:v>
      </x:c>
      <x:c r="E211" s="22" t="n">
        <x:v>32066</x:v>
      </x:c>
      <x:c r="F211" s="2" t="str">
        <x:v>BITRE actual</x:v>
      </x:c>
    </x:row>
    <x:row r="212" ht="22" customHeight="1">
      <x:c r="A212" s="2" t="str">
        <x:v>MEL-SGN</x:v>
      </x:c>
      <x:c r="B212" s="13" t="n">
        <x:v>45962</x:v>
      </x:c>
      <x:c r="C212" s="22" t="n">
        <x:v>19343</x:v>
      </x:c>
      <x:c r="D212" s="22" t="n">
        <x:v>20446</x:v>
      </x:c>
      <x:c r="E212" s="22" t="n">
        <x:v>39789</x:v>
      </x:c>
      <x:c r="F212" s="2" t="str">
        <x:v>BITRE actual</x:v>
      </x:c>
    </x:row>
    <x:row r="213" ht="22" customHeight="1">
      <x:c r="A213" s="2" t="str">
        <x:v>MEL-SIN</x:v>
      </x:c>
      <x:c r="B213" s="13" t="n">
        <x:v>45962</x:v>
      </x:c>
      <x:c r="C213" s="22" t="n">
        <x:v>70707</x:v>
      </x:c>
      <x:c r="D213" s="22" t="n">
        <x:v>71878</x:v>
      </x:c>
      <x:c r="E213" s="22" t="n">
        <x:v>142585</x:v>
      </x:c>
      <x:c r="F213" s="2" t="str">
        <x:v>BITRE actual</x:v>
      </x:c>
    </x:row>
    <x:row r="214" ht="22" customHeight="1">
      <x:c r="A214" s="2" t="str">
        <x:v>SYD-SEL</x:v>
      </x:c>
      <x:c r="B214" s="13" t="n">
        <x:v>45962</x:v>
      </x:c>
      <x:c r="C214" s="22" t="n">
        <x:v>39149</x:v>
      </x:c>
      <x:c r="D214" s="22" t="n">
        <x:v>37894</x:v>
      </x:c>
      <x:c r="E214" s="22" t="n">
        <x:v>77043</x:v>
      </x:c>
      <x:c r="F214" s="2" t="str">
        <x:v>BITRE actual</x:v>
      </x:c>
    </x:row>
    <x:row r="215" ht="22" customHeight="1">
      <x:c r="A215" s="2" t="str">
        <x:v>SYD-TYO</x:v>
      </x:c>
      <x:c r="B215" s="13" t="n">
        <x:v>45962</x:v>
      </x:c>
      <x:c r="C215" s="22" t="n">
        <x:v>36009</x:v>
      </x:c>
      <x:c r="D215" s="22" t="n">
        <x:v>35540</x:v>
      </x:c>
      <x:c r="E215" s="22" t="n">
        <x:v>71549</x:v>
      </x:c>
      <x:c r="F215" s="2" t="str">
        <x:v>BITRE actual</x:v>
      </x:c>
    </x:row>
    <x:row r="216" ht="22" customHeight="1">
      <x:c r="A216" s="2" t="str">
        <x:v>BNE-AKL</x:v>
      </x:c>
      <x:c r="B216" s="13" t="n">
        <x:v>45992</x:v>
      </x:c>
      <x:c r="C216" s="22" t="n">
        <x:v>42605</x:v>
      </x:c>
      <x:c r="D216" s="22" t="n">
        <x:v>46879</x:v>
      </x:c>
      <x:c r="E216" s="22" t="n">
        <x:v>89484</x:v>
      </x:c>
      <x:c r="F216" s="2" t="str">
        <x:v>BITRE actual</x:v>
      </x:c>
    </x:row>
    <x:row r="217" ht="22" customHeight="1">
      <x:c r="A217" s="2" t="str">
        <x:v>BNE-TYO</x:v>
      </x:c>
      <x:c r="B217" s="13" t="n">
        <x:v>45992</x:v>
      </x:c>
      <x:c r="C217" s="22" t="n">
        <x:v>16333</x:v>
      </x:c>
      <x:c r="D217" s="22" t="n">
        <x:v>17992</x:v>
      </x:c>
      <x:c r="E217" s="22" t="n">
        <x:v>34325</x:v>
      </x:c>
      <x:c r="F217" s="2" t="str">
        <x:v>BITRE actual</x:v>
      </x:c>
    </x:row>
    <x:row r="218" ht="22" customHeight="1">
      <x:c r="A218" s="2" t="str">
        <x:v>MEL-SGN</x:v>
      </x:c>
      <x:c r="B218" s="13" t="n">
        <x:v>45992</x:v>
      </x:c>
      <x:c r="C218" s="22" t="n">
        <x:v>20520</x:v>
      </x:c>
      <x:c r="D218" s="22" t="n">
        <x:v>24410</x:v>
      </x:c>
      <x:c r="E218" s="22" t="n">
        <x:v>44930</x:v>
      </x:c>
      <x:c r="F218" s="2" t="str">
        <x:v>BITRE actual</x:v>
      </x:c>
    </x:row>
    <x:row r="219" ht="22" customHeight="1">
      <x:c r="A219" s="2" t="str">
        <x:v>MEL-SIN</x:v>
      </x:c>
      <x:c r="B219" s="13" t="n">
        <x:v>45992</x:v>
      </x:c>
      <x:c r="C219" s="22" t="n">
        <x:v>72092</x:v>
      </x:c>
      <x:c r="D219" s="22" t="n">
        <x:v>83895</x:v>
      </x:c>
      <x:c r="E219" s="22" t="n">
        <x:v>155987</x:v>
      </x:c>
      <x:c r="F219" s="2" t="str">
        <x:v>BITRE actual</x:v>
      </x:c>
    </x:row>
    <x:row r="220" ht="22" customHeight="1">
      <x:c r="A220" s="2" t="str">
        <x:v>SYD-SEL</x:v>
      </x:c>
      <x:c r="B220" s="13" t="n">
        <x:v>45992</x:v>
      </x:c>
      <x:c r="C220" s="22" t="n">
        <x:v>35455</x:v>
      </x:c>
      <x:c r="D220" s="22" t="n">
        <x:v>41670</x:v>
      </x:c>
      <x:c r="E220" s="22" t="n">
        <x:v>77125</x:v>
      </x:c>
      <x:c r="F220" s="2" t="str">
        <x:v>BITRE actual</x:v>
      </x:c>
    </x:row>
    <x:row r="221" ht="22" customHeight="1">
      <x:c r="A221" s="2" t="str">
        <x:v>SYD-TYO</x:v>
      </x:c>
      <x:c r="B221" s="13" t="n">
        <x:v>45992</x:v>
      </x:c>
      <x:c r="C221" s="22" t="n">
        <x:v>31353</x:v>
      </x:c>
      <x:c r="D221" s="22" t="n">
        <x:v>37651</x:v>
      </x:c>
      <x:c r="E221" s="22" t="n">
        <x:v>69004</x:v>
      </x:c>
      <x:c r="F221" s="2" t="str">
        <x:v>BITRE actual</x:v>
      </x:c>
    </x:row>
    <x:row r="222" ht="22" customHeight="1">
      <x:c r="A222" s="2" t="str">
        <x:v>BNE-AKL</x:v>
      </x:c>
      <x:c r="B222" s="13" t="n">
        <x:v>46023</x:v>
      </x:c>
      <x:c r="C222" s="22" t="n">
        <x:v>45252</x:v>
      </x:c>
      <x:c r="D222" s="22" t="n">
        <x:v>42531</x:v>
      </x:c>
      <x:c r="E222" s="22" t="n">
        <x:v>87783</x:v>
      </x:c>
      <x:c r="F222" s="2" t="str">
        <x:v>BITRE actual</x:v>
      </x:c>
    </x:row>
    <x:row r="223" ht="22" customHeight="1">
      <x:c r="A223" s="2" t="str">
        <x:v>BNE-TYO</x:v>
      </x:c>
      <x:c r="B223" s="13" t="n">
        <x:v>46023</x:v>
      </x:c>
      <x:c r="C223" s="22" t="n">
        <x:v>17745</x:v>
      </x:c>
      <x:c r="D223" s="22" t="n">
        <x:v>16247</x:v>
      </x:c>
      <x:c r="E223" s="22" t="n">
        <x:v>33992</x:v>
      </x:c>
      <x:c r="F223" s="2" t="str">
        <x:v>BITRE actual</x:v>
      </x:c>
    </x:row>
    <x:row r="224" ht="22" customHeight="1">
      <x:c r="A224" s="2" t="str">
        <x:v>MEL-SGN</x:v>
      </x:c>
      <x:c r="B224" s="13" t="n">
        <x:v>46023</x:v>
      </x:c>
      <x:c r="C224" s="22" t="n">
        <x:v>24671</x:v>
      </x:c>
      <x:c r="D224" s="22" t="n">
        <x:v>21395</x:v>
      </x:c>
      <x:c r="E224" s="22" t="n">
        <x:v>46066</x:v>
      </x:c>
      <x:c r="F224" s="2" t="str">
        <x:v>BITRE actual</x:v>
      </x:c>
    </x:row>
    <x:row r="225" ht="22" customHeight="1">
      <x:c r="A225" s="2" t="str">
        <x:v>MEL-SIN</x:v>
      </x:c>
      <x:c r="B225" s="13" t="n">
        <x:v>46023</x:v>
      </x:c>
      <x:c r="C225" s="22" t="n">
        <x:v>84209</x:v>
      </x:c>
      <x:c r="D225" s="22" t="n">
        <x:v>75537</x:v>
      </x:c>
      <x:c r="E225" s="22" t="n">
        <x:v>159746</x:v>
      </x:c>
      <x:c r="F225" s="2" t="str">
        <x:v>BITRE actual</x:v>
      </x:c>
    </x:row>
    <x:row r="226" ht="22" customHeight="1">
      <x:c r="A226" s="2" t="str">
        <x:v>SYD-SEL</x:v>
      </x:c>
      <x:c r="B226" s="13" t="n">
        <x:v>46023</x:v>
      </x:c>
      <x:c r="C226" s="22" t="n">
        <x:v>41691</x:v>
      </x:c>
      <x:c r="D226" s="22" t="n">
        <x:v>35700</x:v>
      </x:c>
      <x:c r="E226" s="22" t="n">
        <x:v>77391</x:v>
      </x:c>
      <x:c r="F226" s="2" t="str">
        <x:v>BITRE actual</x:v>
      </x:c>
    </x:row>
    <x:row r="227" ht="22" customHeight="1">
      <x:c r="A227" s="2" t="str">
        <x:v>SYD-TYO</x:v>
      </x:c>
      <x:c r="B227" s="13" t="n">
        <x:v>46023</x:v>
      </x:c>
      <x:c r="C227" s="22" t="n">
        <x:v>38061</x:v>
      </x:c>
      <x:c r="D227" s="22" t="n">
        <x:v>34928</x:v>
      </x:c>
      <x:c r="E227" s="22" t="n">
        <x:v>72989</x:v>
      </x:c>
      <x:c r="F227" s="2" t="str">
        <x:v>BITRE actual</x:v>
      </x:c>
    </x:row>
    <x:row r="228" ht="22" customHeight="1">
      <x:c r="A228" s="2" t="str">
        <x:v>BNE-AKL</x:v>
      </x:c>
      <x:c r="B228" s="13" t="n">
        <x:v>46054</x:v>
      </x:c>
      <x:c r="C228" s="22" t="n">
        <x:v>32963</x:v>
      </x:c>
      <x:c r="D228" s="22" t="n">
        <x:v>35105</x:v>
      </x:c>
      <x:c r="E228" s="22" t="n">
        <x:v>68068</x:v>
      </x:c>
      <x:c r="F228" s="2" t="str">
        <x:v>BITRE actual</x:v>
      </x:c>
    </x:row>
    <x:row r="229" ht="22" customHeight="1">
      <x:c r="A229" s="2" t="str">
        <x:v>BNE-TYO</x:v>
      </x:c>
      <x:c r="B229" s="13" t="n">
        <x:v>46054</x:v>
      </x:c>
      <x:c r="C229" s="22" t="n">
        <x:v>16953</x:v>
      </x:c>
      <x:c r="D229" s="22" t="n">
        <x:v>15322</x:v>
      </x:c>
      <x:c r="E229" s="22" t="n">
        <x:v>32275</x:v>
      </x:c>
      <x:c r="F229" s="2" t="str">
        <x:v>BITRE actual</x:v>
      </x:c>
    </x:row>
    <x:row r="230" ht="22" customHeight="1">
      <x:c r="A230" s="2" t="str">
        <x:v>MEL-SGN</x:v>
      </x:c>
      <x:c r="B230" s="13" t="n">
        <x:v>46054</x:v>
      </x:c>
      <x:c r="C230" s="22" t="n">
        <x:v>21145</x:v>
      </x:c>
      <x:c r="D230" s="22" t="n">
        <x:v>18367</x:v>
      </x:c>
      <x:c r="E230" s="22" t="n">
        <x:v>39512</x:v>
      </x:c>
      <x:c r="F230" s="2" t="str">
        <x:v>BITRE actual</x:v>
      </x:c>
    </x:row>
    <x:row r="231" ht="22" customHeight="1">
      <x:c r="A231" s="2" t="str">
        <x:v>MEL-SIN</x:v>
      </x:c>
      <x:c r="B231" s="13" t="n">
        <x:v>46054</x:v>
      </x:c>
      <x:c r="C231" s="22" t="n">
        <x:v>72686</x:v>
      </x:c>
      <x:c r="D231" s="22" t="n">
        <x:v>58911</x:v>
      </x:c>
      <x:c r="E231" s="22" t="n">
        <x:v>131597</x:v>
      </x:c>
      <x:c r="F231" s="2" t="str">
        <x:v>BITRE actual</x:v>
      </x:c>
    </x:row>
    <x:row r="232" ht="22" customHeight="1">
      <x:c r="A232" s="2" t="str">
        <x:v>SYD-SEL</x:v>
      </x:c>
      <x:c r="B232" s="13" t="n">
        <x:v>46054</x:v>
      </x:c>
      <x:c r="C232" s="22" t="n">
        <x:v>37071</x:v>
      </x:c>
      <x:c r="D232" s="22" t="n">
        <x:v>32779</x:v>
      </x:c>
      <x:c r="E232" s="22" t="n">
        <x:v>69850</x:v>
      </x:c>
      <x:c r="F232" s="2" t="str">
        <x:v>BITRE actual</x:v>
      </x:c>
    </x:row>
    <x:row r="233" ht="22" customHeight="1">
      <x:c r="A233" s="2" t="str">
        <x:v>SYD-TYO</x:v>
      </x:c>
      <x:c r="B233" s="13" t="n">
        <x:v>46054</x:v>
      </x:c>
      <x:c r="C233" s="22" t="n">
        <x:v>34911</x:v>
      </x:c>
      <x:c r="D233" s="22" t="n">
        <x:v>31687</x:v>
      </x:c>
      <x:c r="E233" s="22" t="n">
        <x:v>66598</x:v>
      </x:c>
      <x:c r="F233" s="2" t="str">
        <x:v>BITRE actual</x:v>
      </x:c>
    </x:row>
    <x:row r="234" ht="22" customHeight="1">
      <x:c r="A234" s="2" t="str">
        <x:v>BNE-AKL</x:v>
      </x:c>
      <x:c r="B234" s="13" t="n">
        <x:v>46082</x:v>
      </x:c>
      <x:c r="C234" s="22" t="n">
        <x:v>40816</x:v>
      </x:c>
      <x:c r="D234" s="22" t="n">
        <x:v>36999</x:v>
      </x:c>
      <x:c r="E234" s="22" t="n">
        <x:v>77815</x:v>
      </x:c>
      <x:c r="F234" s="2" t="str">
        <x:v>BITRE actual</x:v>
      </x:c>
    </x:row>
    <x:row r="235" ht="22" customHeight="1">
      <x:c r="A235" s="2" t="str">
        <x:v>BNE-TYO</x:v>
      </x:c>
      <x:c r="B235" s="13" t="n">
        <x:v>46082</x:v>
      </x:c>
      <x:c r="C235" s="22" t="n">
        <x:v>17215</x:v>
      </x:c>
      <x:c r="D235" s="22" t="n">
        <x:v>17770</x:v>
      </x:c>
      <x:c r="E235" s="22" t="n">
        <x:v>34985</x:v>
      </x:c>
      <x:c r="F235" s="2" t="str">
        <x:v>BITRE actual</x:v>
      </x:c>
    </x:row>
    <x:row r="236" ht="22" customHeight="1">
      <x:c r="A236" s="2" t="str">
        <x:v>MEL-SGN</x:v>
      </x:c>
      <x:c r="B236" s="13" t="n">
        <x:v>46082</x:v>
      </x:c>
      <x:c r="C236" s="22" t="n">
        <x:v>22660</x:v>
      </x:c>
      <x:c r="D236" s="22" t="n">
        <x:v>21466</x:v>
      </x:c>
      <x:c r="E236" s="22" t="n">
        <x:v>44126</x:v>
      </x:c>
      <x:c r="F236" s="2" t="str">
        <x:v>BITRE actual</x:v>
      </x:c>
    </x:row>
    <x:row r="237" ht="22" customHeight="1">
      <x:c r="A237" s="2" t="str">
        <x:v>MEL-SIN</x:v>
      </x:c>
      <x:c r="B237" s="13" t="n">
        <x:v>46082</x:v>
      </x:c>
      <x:c r="C237" s="22" t="n">
        <x:v>70500</x:v>
      </x:c>
      <x:c r="D237" s="22" t="n">
        <x:v>71891</x:v>
      </x:c>
      <x:c r="E237" s="22" t="n">
        <x:v>142391</x:v>
      </x:c>
      <x:c r="F237" s="2" t="str">
        <x:v>BITRE actual</x:v>
      </x:c>
    </x:row>
    <x:row r="238" ht="22" customHeight="1">
      <x:c r="A238" s="2" t="str">
        <x:v>SYD-SEL</x:v>
      </x:c>
      <x:c r="B238" s="13" t="n">
        <x:v>46082</x:v>
      </x:c>
      <x:c r="C238" s="22" t="n">
        <x:v>31592</x:v>
      </x:c>
      <x:c r="D238" s="22" t="n">
        <x:v>41520</x:v>
      </x:c>
      <x:c r="E238" s="22" t="n">
        <x:v>73112</x:v>
      </x:c>
      <x:c r="F238" s="2" t="str">
        <x:v>BITRE actual</x:v>
      </x:c>
    </x:row>
    <x:row r="239" ht="22" customHeight="1">
      <x:c r="A239" s="2" t="str">
        <x:v>SYD-TYO</x:v>
      </x:c>
      <x:c r="B239" s="13" t="n">
        <x:v>46082</x:v>
      </x:c>
      <x:c r="C239" s="22" t="n">
        <x:v>34714</x:v>
      </x:c>
      <x:c r="D239" s="22" t="n">
        <x:v>38274</x:v>
      </x:c>
      <x:c r="E239" s="22" t="n">
        <x:v>72988</x:v>
      </x:c>
      <x:c r="F239" s="2" t="str">
        <x:v>BITRE actual</x:v>
      </x:c>
    </x:row>
    <x:row r="240" ht="22" customHeight="1">
      <x:c r="A240" s="2" t="str">
        <x:v>BNE-AKL</x:v>
      </x:c>
      <x:c r="B240" s="13" t="n">
        <x:v>46113</x:v>
      </x:c>
      <x:c r="C240" s="22" t="n">
        <x:v>38667</x:v>
      </x:c>
      <x:c r="D240" s="22" t="n">
        <x:v>38388</x:v>
      </x:c>
      <x:c r="E240" s="22" t="n">
        <x:v>77055</x:v>
      </x:c>
      <x:c r="F240" s="2" t="str">
        <x:v>BITRE actual</x:v>
      </x:c>
    </x:row>
    <x:row r="241" ht="22" customHeight="1">
      <x:c r="A241" s="2" t="str">
        <x:v>BNE-TYO</x:v>
      </x:c>
      <x:c r="B241" s="13" t="n">
        <x:v>46113</x:v>
      </x:c>
      <x:c r="C241" s="22" t="n">
        <x:v>16386</x:v>
      </x:c>
      <x:c r="D241" s="22" t="n">
        <x:v>14668</x:v>
      </x:c>
      <x:c r="E241" s="22" t="n">
        <x:v>31054</x:v>
      </x:c>
      <x:c r="F241" s="2" t="str">
        <x:v>BITRE actual</x:v>
      </x:c>
    </x:row>
    <x:row r="242" ht="22" customHeight="1">
      <x:c r="A242" s="2" t="str">
        <x:v>MEL-SGN</x:v>
      </x:c>
      <x:c r="B242" s="13" t="n">
        <x:v>46113</x:v>
      </x:c>
      <x:c r="C242" s="22" t="n">
        <x:v>21125</x:v>
      </x:c>
      <x:c r="D242" s="22" t="n">
        <x:v>19958</x:v>
      </x:c>
      <x:c r="E242" s="22" t="n">
        <x:v>41083</x:v>
      </x:c>
      <x:c r="F242" s="2" t="str">
        <x:v>BITRE actual</x:v>
      </x:c>
    </x:row>
    <x:row r="243" ht="22" customHeight="1">
      <x:c r="A243" s="2" t="str">
        <x:v>MEL-SIN</x:v>
      </x:c>
      <x:c r="B243" s="13" t="n">
        <x:v>46113</x:v>
      </x:c>
      <x:c r="C243" s="22" t="n">
        <x:v>70828</x:v>
      </x:c>
      <x:c r="D243" s="22" t="n">
        <x:v>70831</x:v>
      </x:c>
      <x:c r="E243" s="22" t="n">
        <x:v>141659</x:v>
      </x:c>
      <x:c r="F243" s="2" t="str">
        <x:v>BITRE actual</x:v>
      </x:c>
    </x:row>
    <x:row r="244" ht="22" customHeight="1">
      <x:c r="A244" s="2" t="str">
        <x:v>SYD-SEL</x:v>
      </x:c>
      <x:c r="B244" s="13" t="n">
        <x:v>46113</x:v>
      </x:c>
      <x:c r="C244" s="22" t="n">
        <x:v>30336</x:v>
      </x:c>
      <x:c r="D244" s="22" t="n">
        <x:v>28923</x:v>
      </x:c>
      <x:c r="E244" s="22" t="n">
        <x:v>59259</x:v>
      </x:c>
      <x:c r="F244" s="2" t="str">
        <x:v>BITRE actual</x:v>
      </x:c>
    </x:row>
    <x:row r="245" ht="22" customHeight="1">
      <x:c r="A245" s="2" t="str">
        <x:v>SYD-TYO</x:v>
      </x:c>
      <x:c r="B245" s="13" t="n">
        <x:v>46113</x:v>
      </x:c>
      <x:c r="C245" s="22" t="n">
        <x:v>33199</x:v>
      </x:c>
      <x:c r="D245" s="22" t="n">
        <x:v>30527</x:v>
      </x:c>
      <x:c r="E245" s="22" t="n">
        <x:v>63726</x:v>
      </x:c>
      <x:c r="F245" s="2" t="str">
        <x:v>BITRE actual</x:v>
      </x:c>
    </x:row>
    <x:row r="246" ht="22" customHeight="1">
      <x:c r="A246" s="2" t="str">
        <x:v>BNE-AKL</x:v>
      </x:c>
      <x:c r="B246" s="13" t="n">
        <x:v>46143</x:v>
      </x:c>
      <x:c r="C246" s="22" t="n">
        <x:v>36234</x:v>
      </x:c>
      <x:c r="D246" s="22" t="n">
        <x:v>33132</x:v>
      </x:c>
      <x:c r="E246" s="22" t="n">
        <x:v>69366</x:v>
      </x:c>
      <x:c r="F246" s="2" t="str">
        <x:v>BITRE actual</x:v>
      </x:c>
    </x:row>
    <x:row r="247" ht="22" customHeight="1">
      <x:c r="A247" s="2" t="str">
        <x:v>BNE-TYO</x:v>
      </x:c>
      <x:c r="B247" s="13" t="n">
        <x:v>46143</x:v>
      </x:c>
      <x:c r="C247" s="22" t="n">
        <x:v>15878</x:v>
      </x:c>
      <x:c r="D247" s="22" t="n">
        <x:v>15204</x:v>
      </x:c>
      <x:c r="E247" s="22" t="n">
        <x:v>31082</x:v>
      </x:c>
      <x:c r="F247" s="2" t="str">
        <x:v>BITRE actual</x:v>
      </x:c>
    </x:row>
    <x:row r="248" ht="22" customHeight="1">
      <x:c r="A248" s="2" t="str">
        <x:v>MEL-SGN</x:v>
      </x:c>
      <x:c r="B248" s="13" t="n">
        <x:v>46143</x:v>
      </x:c>
      <x:c r="C248" s="22" t="n">
        <x:v>19381</x:v>
      </x:c>
      <x:c r="D248" s="22" t="n">
        <x:v>20718</x:v>
      </x:c>
      <x:c r="E248" s="22" t="n">
        <x:v>40099</x:v>
      </x:c>
      <x:c r="F248" s="2" t="str">
        <x:v>BITRE actual</x:v>
      </x:c>
    </x:row>
    <x:row r="249" ht="22" customHeight="1">
      <x:c r="A249" s="2" t="str">
        <x:v>MEL-SIN</x:v>
      </x:c>
      <x:c r="B249" s="13" t="n">
        <x:v>46143</x:v>
      </x:c>
      <x:c r="C249" s="22" t="n">
        <x:v>67659</x:v>
      </x:c>
      <x:c r="D249" s="22" t="n">
        <x:v>71004</x:v>
      </x:c>
      <x:c r="E249" s="22" t="n">
        <x:v>138663</x:v>
      </x:c>
      <x:c r="F249" s="2" t="str">
        <x:v>BITRE actual</x:v>
      </x:c>
    </x:row>
    <x:row r="250" ht="22" customHeight="1">
      <x:c r="A250" s="2" t="str">
        <x:v>SYD-SEL</x:v>
      </x:c>
      <x:c r="B250" s="13" t="n">
        <x:v>46143</x:v>
      </x:c>
      <x:c r="C250" s="22" t="n">
        <x:v>27788</x:v>
      </x:c>
      <x:c r="D250" s="22" t="n">
        <x:v>30369</x:v>
      </x:c>
      <x:c r="E250" s="22" t="n">
        <x:v>58157</x:v>
      </x:c>
      <x:c r="F250" s="2" t="str">
        <x:v>BITRE actual</x:v>
      </x:c>
    </x:row>
    <x:row r="251" ht="22" customHeight="1">
      <x:c r="A251" s="2" t="str">
        <x:v>SYD-TYO</x:v>
      </x:c>
      <x:c r="B251" s="13" t="n">
        <x:v>46143</x:v>
      </x:c>
      <x:c r="C251" s="22" t="n">
        <x:v>29755</x:v>
      </x:c>
      <x:c r="D251" s="22" t="n">
        <x:v>33434</x:v>
      </x:c>
      <x:c r="E251" s="22" t="n">
        <x:v>63189</x:v>
      </x:c>
      <x:c r="F251" s="2" t="str">
        <x:v>BITRE actual</x:v>
      </x:c>
    </x:row>
    <x:row r="252" ht="22" customHeight="1">
      <x:c r="A252" s="2" t="str">
        <x:v>BNE-AKL</x:v>
      </x:c>
      <x:c r="B252" s="13" t="n">
        <x:v>46174</x:v>
      </x:c>
      <x:c r="C252" s="22" t="n">
        <x:v>28898</x:v>
      </x:c>
      <x:c r="D252" s="22" t="n">
        <x:v>32215</x:v>
      </x:c>
      <x:c r="E252" s="22" t="n">
        <x:v>61113</x:v>
      </x:c>
      <x:c r="F252" s="2" t="str">
        <x:v>BITRE actual</x:v>
      </x:c>
    </x:row>
    <x:row r="253" ht="22" customHeight="1">
      <x:c r="A253" s="2" t="str">
        <x:v>BNE-TYO</x:v>
      </x:c>
      <x:c r="B253" s="13" t="n">
        <x:v>46174</x:v>
      </x:c>
      <x:c r="C253" s="22" t="n">
        <x:v>13638</x:v>
      </x:c>
      <x:c r="D253" s="22" t="n">
        <x:v>13719</x:v>
      </x:c>
      <x:c r="E253" s="22" t="n">
        <x:v>27357</x:v>
      </x:c>
      <x:c r="F253" s="2" t="str">
        <x:v>BITRE actual</x:v>
      </x:c>
    </x:row>
    <x:row r="254" ht="22" customHeight="1">
      <x:c r="A254" s="2" t="str">
        <x:v>MEL-SGN</x:v>
      </x:c>
      <x:c r="B254" s="13" t="n">
        <x:v>46174</x:v>
      </x:c>
      <x:c r="C254" s="22" t="n">
        <x:v>18235</x:v>
      </x:c>
      <x:c r="D254" s="22" t="n">
        <x:v>21227</x:v>
      </x:c>
      <x:c r="E254" s="22" t="n">
        <x:v>39462</x:v>
      </x:c>
      <x:c r="F254" s="2" t="str">
        <x:v>BITRE actual</x:v>
      </x:c>
    </x:row>
    <x:row r="255" ht="22" customHeight="1">
      <x:c r="A255" s="2" t="str">
        <x:v>MEL-SIN</x:v>
      </x:c>
      <x:c r="B255" s="13" t="n">
        <x:v>46174</x:v>
      </x:c>
      <x:c r="C255" s="22" t="n">
        <x:v>68947</x:v>
      </x:c>
      <x:c r="D255" s="22" t="n">
        <x:v>81149</x:v>
      </x:c>
      <x:c r="E255" s="22" t="n">
        <x:v>150096</x:v>
      </x:c>
      <x:c r="F255" s="2" t="str">
        <x:v>BITRE actual</x:v>
      </x:c>
    </x:row>
    <x:row r="256" ht="22" customHeight="1">
      <x:c r="A256" s="2" t="str">
        <x:v>SYD-SEL</x:v>
      </x:c>
      <x:c r="B256" s="13" t="n">
        <x:v>46174</x:v>
      </x:c>
      <x:c r="C256" s="22" t="n">
        <x:v>24857</x:v>
      </x:c>
      <x:c r="D256" s="22" t="n">
        <x:v>29347</x:v>
      </x:c>
      <x:c r="E256" s="22" t="n">
        <x:v>54204</x:v>
      </x:c>
      <x:c r="F256" s="2" t="str">
        <x:v>BITRE actual</x:v>
      </x:c>
    </x:row>
    <x:row r="257" ht="22" customHeight="1">
      <x:c r="A257" s="2" t="str">
        <x:v>SYD-TYO</x:v>
      </x:c>
      <x:c r="B257" s="13" t="n">
        <x:v>46174</x:v>
      </x:c>
      <x:c r="C257" s="22" t="n">
        <x:v>25287</x:v>
      </x:c>
      <x:c r="D257" s="22" t="n">
        <x:v>28435</x:v>
      </x:c>
      <x:c r="E257" s="22" t="n">
        <x:v>53722</x:v>
      </x:c>
      <x:c r="F257" s="2" t="str">
        <x:v>BITRE actual</x:v>
      </x:c>
    </x:row>
  </x:sheetData>
  <x:pageMargins left="0.7" right="0.7" top="0.75" bottom="0.75" header="0.3" footer="0.3"/>
  <x:tableParts count="1">
    <x:tablePart xmlns:r="http://schemas.openxmlformats.org/officeDocument/2006/relationships" r:id="Rbb29a1284f8548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4" t="str">
        <x:v>Market forecast validation and holdout</x:v>
      </x:c>
      <x:c r="B2" s="4"/>
      <x:c r="C2" s="4"/>
      <x:c r="D2" s="4"/>
      <x:c r="E2" s="4"/>
      <x:c r="F2" s="4"/>
      <x:c r="G2" s="4"/>
      <x:c r="H2" s="4"/>
      <x:c r="I2" s="4"/>
    </x:row>
    <x:row r="3" ht="22" customHeight="1">
      <x:c r="A3" s="2" t="str">
        <x:v>2025 validation selects the model; Jan–Jun 2026 holdout measures final accuracy. No future observations enter training.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21" t="str">
        <x:v>Route</x:v>
      </x:c>
      <x:c r="B5" s="21" t="str">
        <x:v>Month</x:v>
      </x:c>
      <x:c r="C5" s="21" t="str">
        <x:v>Actual pax</x:v>
      </x:c>
      <x:c r="D5" s="21" t="str">
        <x:v>Selected forecast</x:v>
      </x:c>
      <x:c r="E5" s="21" t="str">
        <x:v>Trend forecast</x:v>
      </x:c>
      <x:c r="F5" s="21" t="str">
        <x:v>Seasonal baseline</x:v>
      </x:c>
      <x:c r="G5" s="21" t="str">
        <x:v>Absolute error</x:v>
      </x:c>
      <x:c r="H5" s="21" t="str">
        <x:v>Split</x:v>
      </x:c>
      <x:c r="I5" s="21" t="str">
        <x:v>Selected model</x:v>
      </x:c>
      <x:c r="K5" s="21" t="str">
        <x:v>Route</x:v>
      </x:c>
      <x:c r="L5" s="21" t="str">
        <x:v>Holdout WAPE</x:v>
      </x:c>
      <x:c r="M5" s="21" t="str">
        <x:v>Trend WAPE</x:v>
      </x:c>
      <x:c r="N5" s="21" t="str">
        <x:v>Band coverage</x:v>
      </x:c>
    </x:row>
    <x:row r="6" ht="22" customHeight="1">
      <x:c r="A6" s="2" t="str">
        <x:v>BNE-AKL</x:v>
      </x:c>
      <x:c r="B6" s="13" t="n">
        <x:v>45658</x:v>
      </x:c>
      <x:c r="C6" s="22" t="n">
        <x:v>42780</x:v>
      </x:c>
      <x:c r="D6" s="22" t="n">
        <x:v>38086</x:v>
      </x:c>
      <x:c r="E6" s="22" t="n">
        <x:v>43326</x:v>
      </x:c>
      <x:c r="F6" s="22" t="n">
        <x:v>38086</x:v>
      </x:c>
      <x:c r="G6" s="22" t="n">
        <x:f>ABS(C6-D6)</x:f>
        <x:v>4694</x:v>
      </x:c>
      <x:c r="H6" s="2" t="str">
        <x:v>validation</x:v>
      </x:c>
      <x:c r="I6" s="2" t="str">
        <x:v>Seasonal baseline</x:v>
      </x:c>
      <x:c r="K6" t="str">
        <x:v>BNE-AKL</x:v>
      </x:c>
      <x:c r="L6" s="23" t="n">
        <x:f>SUMIFS($G$6:$G$113,$A$6:$A$113,K6,$H$6:$H$113,"holdout")/SUMIFS($C$6:$C$113,$A$6:$A$113,K6,$H$6:$H$113,"holdout")</x:f>
        <x:v>0.057210239501763065</x:v>
      </x:c>
      <x:c r="M6" s="23" t="n">
        <x:v>0.0716</x:v>
      </x:c>
      <x:c r="N6" s="23" t="n">
        <x:v>0.5</x:v>
      </x:c>
    </x:row>
    <x:row r="7" ht="22" customHeight="1">
      <x:c r="A7" s="2" t="str">
        <x:v>BNE-AKL</x:v>
      </x:c>
      <x:c r="B7" s="13" t="n">
        <x:v>45689</x:v>
      </x:c>
      <x:c r="C7" s="22" t="n">
        <x:v>33701</x:v>
      </x:c>
      <x:c r="D7" s="22" t="n">
        <x:v>34835</x:v>
      </x:c>
      <x:c r="E7" s="22" t="n">
        <x:v>39284</x:v>
      </x:c>
      <x:c r="F7" s="22" t="n">
        <x:v>34835</x:v>
      </x:c>
      <x:c r="G7" s="22" t="n">
        <x:f>ABS(C7-D7)</x:f>
        <x:v>1134</x:v>
      </x:c>
      <x:c r="H7" s="2" t="str">
        <x:v>validation</x:v>
      </x:c>
      <x:c r="I7" s="2" t="str">
        <x:v>Seasonal baseline</x:v>
      </x:c>
      <x:c r="K7" t="str">
        <x:v>SYD-TYO</x:v>
      </x:c>
      <x:c r="L7" s="23" t="n">
        <x:f>SUMIFS($G$6:$G$113,$A$6:$A$113,K7,$H$6:$H$113,"holdout")/SUMIFS($C$6:$C$113,$A$6:$A$113,K7,$H$6:$H$113,"holdout")</x:f>
        <x:v>0.05001393922497909</x:v>
      </x:c>
      <x:c r="M7" s="23" t="n">
        <x:v>0.0533</x:v>
      </x:c>
      <x:c r="N7" s="23" t="n">
        <x:v>0.5</x:v>
      </x:c>
    </x:row>
    <x:row r="8" ht="22" customHeight="1">
      <x:c r="A8" s="2" t="str">
        <x:v>BNE-AKL</x:v>
      </x:c>
      <x:c r="B8" s="13" t="n">
        <x:v>45717</x:v>
      </x:c>
      <x:c r="C8" s="22" t="n">
        <x:v>32476</x:v>
      </x:c>
      <x:c r="D8" s="22" t="n">
        <x:v>36502</x:v>
      </x:c>
      <x:c r="E8" s="22" t="n">
        <x:v>39945</x:v>
      </x:c>
      <x:c r="F8" s="22" t="n">
        <x:v>36502</x:v>
      </x:c>
      <x:c r="G8" s="22" t="n">
        <x:f>ABS(C8-D8)</x:f>
        <x:v>4026</x:v>
      </x:c>
      <x:c r="H8" s="2" t="str">
        <x:v>validation</x:v>
      </x:c>
      <x:c r="I8" s="2" t="str">
        <x:v>Seasonal baseline</x:v>
      </x:c>
      <x:c r="K8" t="str">
        <x:v>BNE-TYO</x:v>
      </x:c>
      <x:c r="L8" s="23" t="n">
        <x:f>SUMIFS($G$6:$G$113,$A$6:$A$113,K8,$H$6:$H$113,"holdout")/SUMIFS($C$6:$C$113,$A$6:$A$113,K8,$H$6:$H$113,"holdout")</x:f>
        <x:v>0.056763155062950606</x:v>
      </x:c>
      <x:c r="M8" s="23" t="n">
        <x:v>0.0647</x:v>
      </x:c>
      <x:c r="N8" s="23" t="n">
        <x:v>1</x:v>
      </x:c>
    </x:row>
    <x:row r="9" ht="22" customHeight="1">
      <x:c r="A9" s="2" t="str">
        <x:v>BNE-AKL</x:v>
      </x:c>
      <x:c r="B9" s="13" t="n">
        <x:v>45748</x:v>
      </x:c>
      <x:c r="C9" s="22" t="n">
        <x:v>38429</x:v>
      </x:c>
      <x:c r="D9" s="22" t="n">
        <x:v>36176</x:v>
      </x:c>
      <x:c r="E9" s="22" t="n">
        <x:v>38122</x:v>
      </x:c>
      <x:c r="F9" s="22" t="n">
        <x:v>36176</x:v>
      </x:c>
      <x:c r="G9" s="22" t="n">
        <x:f>ABS(C9-D9)</x:f>
        <x:v>2253</x:v>
      </x:c>
      <x:c r="H9" s="2" t="str">
        <x:v>validation</x:v>
      </x:c>
      <x:c r="I9" s="2" t="str">
        <x:v>Seasonal baseline</x:v>
      </x:c>
      <x:c r="K9" t="str">
        <x:v>MEL-SGN</x:v>
      </x:c>
      <x:c r="L9" s="23" t="n">
        <x:f>SUMIFS($G$6:$G$113,$A$6:$A$113,K9,$H$6:$H$113,"holdout")/SUMIFS($C$6:$C$113,$A$6:$A$113,K9,$H$6:$H$113,"holdout")</x:f>
        <x:v>0.08935199096896801</x:v>
      </x:c>
      <x:c r="M9" s="23" t="n">
        <x:v>0.0803</x:v>
      </x:c>
      <x:c r="N9" s="23" t="n">
        <x:v>0.5</x:v>
      </x:c>
    </x:row>
    <x:row r="10" ht="22" customHeight="1">
      <x:c r="A10" s="2" t="str">
        <x:v>BNE-AKL</x:v>
      </x:c>
      <x:c r="B10" s="13" t="n">
        <x:v>45778</x:v>
      </x:c>
      <x:c r="C10" s="22" t="n">
        <x:v>35910</x:v>
      </x:c>
      <x:c r="D10" s="22" t="n">
        <x:v>33632</x:v>
      </x:c>
      <x:c r="E10" s="22" t="n">
        <x:v>34931</x:v>
      </x:c>
      <x:c r="F10" s="22" t="n">
        <x:v>33632</x:v>
      </x:c>
      <x:c r="G10" s="22" t="n">
        <x:f>ABS(C10-D10)</x:f>
        <x:v>2278</x:v>
      </x:c>
      <x:c r="H10" s="2" t="str">
        <x:v>validation</x:v>
      </x:c>
      <x:c r="I10" s="2" t="str">
        <x:v>Seasonal baseline</x:v>
      </x:c>
      <x:c r="K10" t="str">
        <x:v>SYD-SEL</x:v>
      </x:c>
      <x:c r="L10" s="23" t="n">
        <x:f>SUMIFS($G$6:$G$113,$A$6:$A$113,K10,$H$6:$H$113,"holdout")/SUMIFS($C$6:$C$113,$A$6:$A$113,K10,$H$6:$H$113,"holdout")</x:f>
        <x:v>0.08318650006544569</x:v>
      </x:c>
      <x:c r="M10" s="23" t="n">
        <x:v>0.08410000000000001</x:v>
      </x:c>
      <x:c r="N10" s="23" t="n">
        <x:v>0.667</x:v>
      </x:c>
    </x:row>
    <x:row r="11" ht="22" customHeight="1">
      <x:c r="A11" s="2" t="str">
        <x:v>BNE-AKL</x:v>
      </x:c>
      <x:c r="B11" s="13" t="n">
        <x:v>45809</x:v>
      </x:c>
      <x:c r="C11" s="22" t="n">
        <x:v>35713</x:v>
      </x:c>
      <x:c r="D11" s="22" t="n">
        <x:v>36505</x:v>
      </x:c>
      <x:c r="E11" s="22" t="n">
        <x:v>37885</x:v>
      </x:c>
      <x:c r="F11" s="22" t="n">
        <x:v>36505</x:v>
      </x:c>
      <x:c r="G11" s="22" t="n">
        <x:f>ABS(C11-D11)</x:f>
        <x:v>792</x:v>
      </x:c>
      <x:c r="H11" s="2" t="str">
        <x:v>validation</x:v>
      </x:c>
      <x:c r="I11" s="2" t="str">
        <x:v>Seasonal baseline</x:v>
      </x:c>
      <x:c r="K11" t="str">
        <x:v>MEL-SIN</x:v>
      </x:c>
      <x:c r="L11" s="23" t="n">
        <x:f>SUMIFS($G$6:$G$113,$A$6:$A$113,K11,$H$6:$H$113,"holdout")/SUMIFS($C$6:$C$113,$A$6:$A$113,K11,$H$6:$H$113,"holdout")</x:f>
        <x:v>0.04797320432401712</x:v>
      </x:c>
      <x:c r="M11" s="23" t="n">
        <x:v>0.054400000000000004</x:v>
      </x:c>
      <x:c r="N11" s="23" t="n">
        <x:v>0.667</x:v>
      </x:c>
    </x:row>
    <x:row r="12" ht="22" customHeight="1">
      <x:c r="A12" s="2" t="str">
        <x:v>BNE-AKL</x:v>
      </x:c>
      <x:c r="B12" s="13" t="n">
        <x:v>45839</x:v>
      </x:c>
      <x:c r="C12" s="22" t="n">
        <x:v>40743</x:v>
      </x:c>
      <x:c r="D12" s="22" t="n">
        <x:v>38641</x:v>
      </x:c>
      <x:c r="E12" s="22" t="n">
        <x:v>39212</x:v>
      </x:c>
      <x:c r="F12" s="22" t="n">
        <x:v>38641</x:v>
      </x:c>
      <x:c r="G12" s="22" t="n">
        <x:f>ABS(C12-D12)</x:f>
        <x:v>2102</x:v>
      </x:c>
      <x:c r="H12" s="2" t="str">
        <x:v>validation</x:v>
      </x:c>
      <x:c r="I12" s="2" t="str">
        <x:v>Seasonal baseline</x:v>
      </x:c>
    </x:row>
    <x:row r="13" ht="22" customHeight="1">
      <x:c r="A13" s="2" t="str">
        <x:v>BNE-AKL</x:v>
      </x:c>
      <x:c r="B13" s="13" t="n">
        <x:v>45870</x:v>
      </x:c>
      <x:c r="C13" s="22" t="n">
        <x:v>37038</x:v>
      </x:c>
      <x:c r="D13" s="22" t="n">
        <x:v>36913</x:v>
      </x:c>
      <x:c r="E13" s="22" t="n">
        <x:v>37035</x:v>
      </x:c>
      <x:c r="F13" s="22" t="n">
        <x:v>36913</x:v>
      </x:c>
      <x:c r="G13" s="22" t="n">
        <x:f>ABS(C13-D13)</x:f>
        <x:v>125</x:v>
      </x:c>
      <x:c r="H13" s="2" t="str">
        <x:v>validation</x:v>
      </x:c>
      <x:c r="I13" s="2" t="str">
        <x:v>Seasonal baseline</x:v>
      </x:c>
    </x:row>
    <x:row r="14" ht="22" customHeight="1">
      <x:c r="A14" s="2" t="str">
        <x:v>BNE-AKL</x:v>
      </x:c>
      <x:c r="B14" s="13" t="n">
        <x:v>45901</x:v>
      </x:c>
      <x:c r="C14" s="22" t="n">
        <x:v>41216</x:v>
      </x:c>
      <x:c r="D14" s="22" t="n">
        <x:v>39596</x:v>
      </x:c>
      <x:c r="E14" s="22" t="n">
        <x:v>39964</x:v>
      </x:c>
      <x:c r="F14" s="22" t="n">
        <x:v>39596</x:v>
      </x:c>
      <x:c r="G14" s="22" t="n">
        <x:f>ABS(C14-D14)</x:f>
        <x:v>1620</x:v>
      </x:c>
      <x:c r="H14" s="2" t="str">
        <x:v>validation</x:v>
      </x:c>
      <x:c r="I14" s="2" t="str">
        <x:v>Seasonal baseline</x:v>
      </x:c>
    </x:row>
    <x:row r="15" ht="22" customHeight="1">
      <x:c r="A15" s="2" t="str">
        <x:v>BNE-AKL</x:v>
      </x:c>
      <x:c r="B15" s="13" t="n">
        <x:v>45931</x:v>
      </x:c>
      <x:c r="C15" s="22" t="n">
        <x:v>43488</x:v>
      </x:c>
      <x:c r="D15" s="22" t="n">
        <x:v>44751</x:v>
      </x:c>
      <x:c r="E15" s="22" t="n">
        <x:v>46295</x:v>
      </x:c>
      <x:c r="F15" s="22" t="n">
        <x:v>44751</x:v>
      </x:c>
      <x:c r="G15" s="22" t="n">
        <x:f>ABS(C15-D15)</x:f>
        <x:v>1263</x:v>
      </x:c>
      <x:c r="H15" s="2" t="str">
        <x:v>validation</x:v>
      </x:c>
      <x:c r="I15" s="2" t="str">
        <x:v>Seasonal baseline</x:v>
      </x:c>
    </x:row>
    <x:row r="16" ht="22" customHeight="1">
      <x:c r="A16" s="2" t="str">
        <x:v>BNE-AKL</x:v>
      </x:c>
      <x:c r="B16" s="13" t="n">
        <x:v>45962</x:v>
      </x:c>
      <x:c r="C16" s="22" t="n">
        <x:v>39865</x:v>
      </x:c>
      <x:c r="D16" s="22" t="n">
        <x:v>41074</x:v>
      </x:c>
      <x:c r="E16" s="22" t="n">
        <x:v>41872</x:v>
      </x:c>
      <x:c r="F16" s="22" t="n">
        <x:v>41074</x:v>
      </x:c>
      <x:c r="G16" s="22" t="n">
        <x:f>ABS(C16-D16)</x:f>
        <x:v>1209</x:v>
      </x:c>
      <x:c r="H16" s="2" t="str">
        <x:v>validation</x:v>
      </x:c>
      <x:c r="I16" s="2" t="str">
        <x:v>Seasonal baseline</x:v>
      </x:c>
    </x:row>
    <x:row r="17" ht="22" customHeight="1">
      <x:c r="A17" s="2" t="str">
        <x:v>BNE-AKL</x:v>
      </x:c>
      <x:c r="B17" s="13" t="n">
        <x:v>45992</x:v>
      </x:c>
      <x:c r="C17" s="22" t="n">
        <x:v>46879</x:v>
      </x:c>
      <x:c r="D17" s="22" t="n">
        <x:v>44883</x:v>
      </x:c>
      <x:c r="E17" s="22" t="n">
        <x:v>45028</x:v>
      </x:c>
      <x:c r="F17" s="22" t="n">
        <x:v>44883</x:v>
      </x:c>
      <x:c r="G17" s="22" t="n">
        <x:f>ABS(C17-D17)</x:f>
        <x:v>1996</x:v>
      </x:c>
      <x:c r="H17" s="2" t="str">
        <x:v>validation</x:v>
      </x:c>
      <x:c r="I17" s="2" t="str">
        <x:v>Seasonal baseline</x:v>
      </x:c>
    </x:row>
    <x:row r="18" ht="22" customHeight="1">
      <x:c r="A18" s="2" t="str">
        <x:v>BNE-AKL</x:v>
      </x:c>
      <x:c r="B18" s="13" t="n">
        <x:v>46023</x:v>
      </x:c>
      <x:c r="C18" s="22" t="n">
        <x:v>42531</x:v>
      </x:c>
      <x:c r="D18" s="22" t="n">
        <x:v>42780</x:v>
      </x:c>
      <x:c r="E18" s="22" t="n">
        <x:v>43390</x:v>
      </x:c>
      <x:c r="F18" s="22" t="n">
        <x:v>42780</x:v>
      </x:c>
      <x:c r="G18" s="22" t="n">
        <x:f>ABS(C18-D18)</x:f>
        <x:v>249</x:v>
      </x:c>
      <x:c r="H18" s="2" t="str">
        <x:v>holdout</x:v>
      </x:c>
      <x:c r="I18" s="2" t="str">
        <x:v>Seasonal baseline</x:v>
      </x:c>
    </x:row>
    <x:row r="19" ht="22" customHeight="1">
      <x:c r="A19" s="2" t="str">
        <x:v>BNE-AKL</x:v>
      </x:c>
      <x:c r="B19" s="13" t="n">
        <x:v>46054</x:v>
      </x:c>
      <x:c r="C19" s="22" t="n">
        <x:v>35105</x:v>
      </x:c>
      <x:c r="D19" s="22" t="n">
        <x:v>33701</x:v>
      </x:c>
      <x:c r="E19" s="22" t="n">
        <x:v>33843</x:v>
      </x:c>
      <x:c r="F19" s="22" t="n">
        <x:v>33701</x:v>
      </x:c>
      <x:c r="G19" s="22" t="n">
        <x:f>ABS(C19-D19)</x:f>
        <x:v>1404</x:v>
      </x:c>
      <x:c r="H19" s="2" t="str">
        <x:v>holdout</x:v>
      </x:c>
      <x:c r="I19" s="2" t="str">
        <x:v>Seasonal baseline</x:v>
      </x:c>
    </x:row>
    <x:row r="20" ht="22" customHeight="1">
      <x:c r="A20" s="2" t="str">
        <x:v>BNE-AKL</x:v>
      </x:c>
      <x:c r="B20" s="13" t="n">
        <x:v>46082</x:v>
      </x:c>
      <x:c r="C20" s="22" t="n">
        <x:v>36999</x:v>
      </x:c>
      <x:c r="D20" s="22" t="n">
        <x:v>32476</x:v>
      </x:c>
      <x:c r="E20" s="22" t="n">
        <x:v>32820</x:v>
      </x:c>
      <x:c r="F20" s="22" t="n">
        <x:v>32476</x:v>
      </x:c>
      <x:c r="G20" s="22" t="n">
        <x:f>ABS(C20-D20)</x:f>
        <x:v>4523</x:v>
      </x:c>
      <x:c r="H20" s="2" t="str">
        <x:v>holdout</x:v>
      </x:c>
      <x:c r="I20" s="2" t="str">
        <x:v>Seasonal baseline</x:v>
      </x:c>
    </x:row>
    <x:row r="21" ht="22" customHeight="1">
      <x:c r="A21" s="2" t="str">
        <x:v>BNE-AKL</x:v>
      </x:c>
      <x:c r="B21" s="13" t="n">
        <x:v>46113</x:v>
      </x:c>
      <x:c r="C21" s="22" t="n">
        <x:v>38388</x:v>
      </x:c>
      <x:c r="D21" s="22" t="n">
        <x:v>38429</x:v>
      </x:c>
      <x:c r="E21" s="22" t="n">
        <x:v>39466</x:v>
      </x:c>
      <x:c r="F21" s="22" t="n">
        <x:v>38429</x:v>
      </x:c>
      <x:c r="G21" s="22" t="n">
        <x:f>ABS(C21-D21)</x:f>
        <x:v>41</x:v>
      </x:c>
      <x:c r="H21" s="2" t="str">
        <x:v>holdout</x:v>
      </x:c>
      <x:c r="I21" s="2" t="str">
        <x:v>Seasonal baseline</x:v>
      </x:c>
    </x:row>
    <x:row r="22" ht="22" customHeight="1">
      <x:c r="A22" s="2" t="str">
        <x:v>BNE-AKL</x:v>
      </x:c>
      <x:c r="B22" s="13" t="n">
        <x:v>46143</x:v>
      </x:c>
      <x:c r="C22" s="22" t="n">
        <x:v>33132</x:v>
      </x:c>
      <x:c r="D22" s="22" t="n">
        <x:v>35910</x:v>
      </x:c>
      <x:c r="E22" s="22" t="n">
        <x:v>37042</x:v>
      </x:c>
      <x:c r="F22" s="22" t="n">
        <x:v>35910</x:v>
      </x:c>
      <x:c r="G22" s="22" t="n">
        <x:f>ABS(C22-D22)</x:f>
        <x:v>2778</x:v>
      </x:c>
      <x:c r="H22" s="2" t="str">
        <x:v>holdout</x:v>
      </x:c>
      <x:c r="I22" s="2" t="str">
        <x:v>Seasonal baseline</x:v>
      </x:c>
    </x:row>
    <x:row r="23" ht="22" customHeight="1">
      <x:c r="A23" s="2" t="str">
        <x:v>BNE-AKL</x:v>
      </x:c>
      <x:c r="B23" s="13" t="n">
        <x:v>46174</x:v>
      </x:c>
      <x:c r="C23" s="22" t="n">
        <x:v>32215</x:v>
      </x:c>
      <x:c r="D23" s="22" t="n">
        <x:v>35713</x:v>
      </x:c>
      <x:c r="E23" s="22" t="n">
        <x:v>36553</x:v>
      </x:c>
      <x:c r="F23" s="22" t="n">
        <x:v>35713</x:v>
      </x:c>
      <x:c r="G23" s="22" t="n">
        <x:f>ABS(C23-D23)</x:f>
        <x:v>3498</x:v>
      </x:c>
      <x:c r="H23" s="2" t="str">
        <x:v>holdout</x:v>
      </x:c>
      <x:c r="I23" s="2" t="str">
        <x:v>Seasonal baseline</x:v>
      </x:c>
    </x:row>
    <x:row r="24" ht="22" customHeight="1">
      <x:c r="A24" s="2" t="str">
        <x:v>SYD-TYO</x:v>
      </x:c>
      <x:c r="B24" s="13" t="n">
        <x:v>45658</x:v>
      </x:c>
      <x:c r="C24" s="22" t="n">
        <x:v>34935</x:v>
      </x:c>
      <x:c r="D24" s="22" t="n">
        <x:v>30921</x:v>
      </x:c>
      <x:c r="E24" s="22" t="n">
        <x:v>37105</x:v>
      </x:c>
      <x:c r="F24" s="22" t="n">
        <x:v>30921</x:v>
      </x:c>
      <x:c r="G24" s="22" t="n">
        <x:f>ABS(C24-D24)</x:f>
        <x:v>4014</x:v>
      </x:c>
      <x:c r="H24" s="2" t="str">
        <x:v>validation</x:v>
      </x:c>
      <x:c r="I24" s="2" t="str">
        <x:v>Seasonal baseline</x:v>
      </x:c>
    </x:row>
    <x:row r="25" ht="22" customHeight="1">
      <x:c r="A25" s="2" t="str">
        <x:v>SYD-TYO</x:v>
      </x:c>
      <x:c r="B25" s="13" t="n">
        <x:v>45689</x:v>
      </x:c>
      <x:c r="C25" s="22" t="n">
        <x:v>31216</x:v>
      </x:c>
      <x:c r="D25" s="22" t="n">
        <x:v>29060</x:v>
      </x:c>
      <x:c r="E25" s="22" t="n">
        <x:v>34872</x:v>
      </x:c>
      <x:c r="F25" s="22" t="n">
        <x:v>29060</x:v>
      </x:c>
      <x:c r="G25" s="22" t="n">
        <x:f>ABS(C25-D25)</x:f>
        <x:v>2156</x:v>
      </x:c>
      <x:c r="H25" s="2" t="str">
        <x:v>validation</x:v>
      </x:c>
      <x:c r="I25" s="2" t="str">
        <x:v>Seasonal baseline</x:v>
      </x:c>
    </x:row>
    <x:row r="26" ht="22" customHeight="1">
      <x:c r="A26" s="2" t="str">
        <x:v>SYD-TYO</x:v>
      </x:c>
      <x:c r="B26" s="13" t="n">
        <x:v>45717</x:v>
      </x:c>
      <x:c r="C26" s="22" t="n">
        <x:v>35405</x:v>
      </x:c>
      <x:c r="D26" s="22" t="n">
        <x:v>33895</x:v>
      </x:c>
      <x:c r="E26" s="22" t="n">
        <x:v>40674</x:v>
      </x:c>
      <x:c r="F26" s="22" t="n">
        <x:v>33895</x:v>
      </x:c>
      <x:c r="G26" s="22" t="n">
        <x:f>ABS(C26-D26)</x:f>
        <x:v>1510</x:v>
      </x:c>
      <x:c r="H26" s="2" t="str">
        <x:v>validation</x:v>
      </x:c>
      <x:c r="I26" s="2" t="str">
        <x:v>Seasonal baseline</x:v>
      </x:c>
    </x:row>
    <x:row r="27" ht="22" customHeight="1">
      <x:c r="A27" s="2" t="str">
        <x:v>SYD-TYO</x:v>
      </x:c>
      <x:c r="B27" s="13" t="n">
        <x:v>45748</x:v>
      </x:c>
      <x:c r="C27" s="22" t="n">
        <x:v>32183</x:v>
      </x:c>
      <x:c r="D27" s="22" t="n">
        <x:v>29746</x:v>
      </x:c>
      <x:c r="E27" s="22" t="n">
        <x:v>35010</x:v>
      </x:c>
      <x:c r="F27" s="22" t="n">
        <x:v>29746</x:v>
      </x:c>
      <x:c r="G27" s="22" t="n">
        <x:f>ABS(C27-D27)</x:f>
        <x:v>2437</x:v>
      </x:c>
      <x:c r="H27" s="2" t="str">
        <x:v>validation</x:v>
      </x:c>
      <x:c r="I27" s="2" t="str">
        <x:v>Seasonal baseline</x:v>
      </x:c>
    </x:row>
    <x:row r="28" ht="22" customHeight="1">
      <x:c r="A28" s="2" t="str">
        <x:v>SYD-TYO</x:v>
      </x:c>
      <x:c r="B28" s="13" t="n">
        <x:v>45778</x:v>
      </x:c>
      <x:c r="C28" s="22" t="n">
        <x:v>30808</x:v>
      </x:c>
      <x:c r="D28" s="22" t="n">
        <x:v>30189</x:v>
      </x:c>
      <x:c r="E28" s="22" t="n">
        <x:v>34073</x:v>
      </x:c>
      <x:c r="F28" s="22" t="n">
        <x:v>30189</x:v>
      </x:c>
      <x:c r="G28" s="22" t="n">
        <x:f>ABS(C28-D28)</x:f>
        <x:v>619</x:v>
      </x:c>
      <x:c r="H28" s="2" t="str">
        <x:v>validation</x:v>
      </x:c>
      <x:c r="I28" s="2" t="str">
        <x:v>Seasonal baseline</x:v>
      </x:c>
    </x:row>
    <x:row r="29" ht="22" customHeight="1">
      <x:c r="A29" s="2" t="str">
        <x:v>SYD-TYO</x:v>
      </x:c>
      <x:c r="B29" s="13" t="n">
        <x:v>45809</x:v>
      </x:c>
      <x:c r="C29" s="22" t="n">
        <x:v>26197</x:v>
      </x:c>
      <x:c r="D29" s="22" t="n">
        <x:v>27889</x:v>
      </x:c>
      <x:c r="E29" s="22" t="n">
        <x:v>30033</x:v>
      </x:c>
      <x:c r="F29" s="22" t="n">
        <x:v>27889</x:v>
      </x:c>
      <x:c r="G29" s="22" t="n">
        <x:f>ABS(C29-D29)</x:f>
        <x:v>1692</x:v>
      </x:c>
      <x:c r="H29" s="2" t="str">
        <x:v>validation</x:v>
      </x:c>
      <x:c r="I29" s="2" t="str">
        <x:v>Seasonal baseline</x:v>
      </x:c>
    </x:row>
    <x:row r="30" ht="22" customHeight="1">
      <x:c r="A30" s="2" t="str">
        <x:v>SYD-TYO</x:v>
      </x:c>
      <x:c r="B30" s="13" t="n">
        <x:v>45839</x:v>
      </x:c>
      <x:c r="C30" s="22" t="n">
        <x:v>23952</x:v>
      </x:c>
      <x:c r="D30" s="22" t="n">
        <x:v>23003</x:v>
      </x:c>
      <x:c r="E30" s="22" t="n">
        <x:v>24116</x:v>
      </x:c>
      <x:c r="F30" s="22" t="n">
        <x:v>23003</x:v>
      </x:c>
      <x:c r="G30" s="22" t="n">
        <x:f>ABS(C30-D30)</x:f>
        <x:v>949</x:v>
      </x:c>
      <x:c r="H30" s="2" t="str">
        <x:v>validation</x:v>
      </x:c>
      <x:c r="I30" s="2" t="str">
        <x:v>Seasonal baseline</x:v>
      </x:c>
    </x:row>
    <x:row r="31" ht="22" customHeight="1">
      <x:c r="A31" s="2" t="str">
        <x:v>SYD-TYO</x:v>
      </x:c>
      <x:c r="B31" s="13" t="n">
        <x:v>45870</x:v>
      </x:c>
      <x:c r="C31" s="22" t="n">
        <x:v>32008</x:v>
      </x:c>
      <x:c r="D31" s="22" t="n">
        <x:v>30772</x:v>
      </x:c>
      <x:c r="E31" s="22" t="n">
        <x:v>31807</x:v>
      </x:c>
      <x:c r="F31" s="22" t="n">
        <x:v>30772</x:v>
      </x:c>
      <x:c r="G31" s="22" t="n">
        <x:f>ABS(C31-D31)</x:f>
        <x:v>1236</x:v>
      </x:c>
      <x:c r="H31" s="2" t="str">
        <x:v>validation</x:v>
      </x:c>
      <x:c r="I31" s="2" t="str">
        <x:v>Seasonal baseline</x:v>
      </x:c>
    </x:row>
    <x:row r="32" ht="22" customHeight="1">
      <x:c r="A32" s="2" t="str">
        <x:v>SYD-TYO</x:v>
      </x:c>
      <x:c r="B32" s="13" t="n">
        <x:v>45901</x:v>
      </x:c>
      <x:c r="C32" s="22" t="n">
        <x:v>34628</x:v>
      </x:c>
      <x:c r="D32" s="22" t="n">
        <x:v>34303</x:v>
      </x:c>
      <x:c r="E32" s="22" t="n">
        <x:v>35262</x:v>
      </x:c>
      <x:c r="F32" s="22" t="n">
        <x:v>34303</x:v>
      </x:c>
      <x:c r="G32" s="22" t="n">
        <x:f>ABS(C32-D32)</x:f>
        <x:v>325</x:v>
      </x:c>
      <x:c r="H32" s="2" t="str">
        <x:v>validation</x:v>
      </x:c>
      <x:c r="I32" s="2" t="str">
        <x:v>Seasonal baseline</x:v>
      </x:c>
    </x:row>
    <x:row r="33" ht="22" customHeight="1">
      <x:c r="A33" s="2" t="str">
        <x:v>SYD-TYO</x:v>
      </x:c>
      <x:c r="B33" s="13" t="n">
        <x:v>45931</x:v>
      </x:c>
      <x:c r="C33" s="22" t="n">
        <x:v>35466</x:v>
      </x:c>
      <x:c r="D33" s="22" t="n">
        <x:v>32680</x:v>
      </x:c>
      <x:c r="E33" s="22" t="n">
        <x:v>33403</x:v>
      </x:c>
      <x:c r="F33" s="22" t="n">
        <x:v>32680</x:v>
      </x:c>
      <x:c r="G33" s="22" t="n">
        <x:f>ABS(C33-D33)</x:f>
        <x:v>2786</x:v>
      </x:c>
      <x:c r="H33" s="2" t="str">
        <x:v>validation</x:v>
      </x:c>
      <x:c r="I33" s="2" t="str">
        <x:v>Seasonal baseline</x:v>
      </x:c>
    </x:row>
    <x:row r="34" ht="22" customHeight="1">
      <x:c r="A34" s="2" t="str">
        <x:v>SYD-TYO</x:v>
      </x:c>
      <x:c r="B34" s="13" t="n">
        <x:v>45962</x:v>
      </x:c>
      <x:c r="C34" s="22" t="n">
        <x:v>35540</x:v>
      </x:c>
      <x:c r="D34" s="22" t="n">
        <x:v>33576</x:v>
      </x:c>
      <x:c r="E34" s="22" t="n">
        <x:v>34337</x:v>
      </x:c>
      <x:c r="F34" s="22" t="n">
        <x:v>33576</x:v>
      </x:c>
      <x:c r="G34" s="22" t="n">
        <x:f>ABS(C34-D34)</x:f>
        <x:v>1964</x:v>
      </x:c>
      <x:c r="H34" s="2" t="str">
        <x:v>validation</x:v>
      </x:c>
      <x:c r="I34" s="2" t="str">
        <x:v>Seasonal baseline</x:v>
      </x:c>
    </x:row>
    <x:row r="35" ht="22" customHeight="1">
      <x:c r="A35" s="2" t="str">
        <x:v>SYD-TYO</x:v>
      </x:c>
      <x:c r="B35" s="13" t="n">
        <x:v>45992</x:v>
      </x:c>
      <x:c r="C35" s="22" t="n">
        <x:v>37651</x:v>
      </x:c>
      <x:c r="D35" s="22" t="n">
        <x:v>37282</x:v>
      </x:c>
      <x:c r="E35" s="22" t="n">
        <x:v>38363</x:v>
      </x:c>
      <x:c r="F35" s="22" t="n">
        <x:v>37282</x:v>
      </x:c>
      <x:c r="G35" s="22" t="n">
        <x:f>ABS(C35-D35)</x:f>
        <x:v>369</x:v>
      </x:c>
      <x:c r="H35" s="2" t="str">
        <x:v>validation</x:v>
      </x:c>
      <x:c r="I35" s="2" t="str">
        <x:v>Seasonal baseline</x:v>
      </x:c>
    </x:row>
    <x:row r="36" ht="22" customHeight="1">
      <x:c r="A36" s="2" t="str">
        <x:v>SYD-TYO</x:v>
      </x:c>
      <x:c r="B36" s="13" t="n">
        <x:v>46023</x:v>
      </x:c>
      <x:c r="C36" s="22" t="n">
        <x:v>34928</x:v>
      </x:c>
      <x:c r="D36" s="22" t="n">
        <x:v>34935</x:v>
      </x:c>
      <x:c r="E36" s="22" t="n">
        <x:v>36359</x:v>
      </x:c>
      <x:c r="F36" s="22" t="n">
        <x:v>34935</x:v>
      </x:c>
      <x:c r="G36" s="22" t="n">
        <x:f>ABS(C36-D36)</x:f>
        <x:v>7</x:v>
      </x:c>
      <x:c r="H36" s="2" t="str">
        <x:v>holdout</x:v>
      </x:c>
      <x:c r="I36" s="2" t="str">
        <x:v>Seasonal baseline</x:v>
      </x:c>
    </x:row>
    <x:row r="37" ht="22" customHeight="1">
      <x:c r="A37" s="2" t="str">
        <x:v>SYD-TYO</x:v>
      </x:c>
      <x:c r="B37" s="13" t="n">
        <x:v>46054</x:v>
      </x:c>
      <x:c r="C37" s="22" t="n">
        <x:v>31687</x:v>
      </x:c>
      <x:c r="D37" s="22" t="n">
        <x:v>31216</x:v>
      </x:c>
      <x:c r="E37" s="22" t="n">
        <x:v>32273</x:v>
      </x:c>
      <x:c r="F37" s="22" t="n">
        <x:v>31216</x:v>
      </x:c>
      <x:c r="G37" s="22" t="n">
        <x:f>ABS(C37-D37)</x:f>
        <x:v>471</x:v>
      </x:c>
      <x:c r="H37" s="2" t="str">
        <x:v>holdout</x:v>
      </x:c>
      <x:c r="I37" s="2" t="str">
        <x:v>Seasonal baseline</x:v>
      </x:c>
    </x:row>
    <x:row r="38" ht="22" customHeight="1">
      <x:c r="A38" s="2" t="str">
        <x:v>SYD-TYO</x:v>
      </x:c>
      <x:c r="B38" s="13" t="n">
        <x:v>46082</x:v>
      </x:c>
      <x:c r="C38" s="22" t="n">
        <x:v>38274</x:v>
      </x:c>
      <x:c r="D38" s="22" t="n">
        <x:v>35405</x:v>
      </x:c>
      <x:c r="E38" s="22" t="n">
        <x:v>36455</x:v>
      </x:c>
      <x:c r="F38" s="22" t="n">
        <x:v>35405</x:v>
      </x:c>
      <x:c r="G38" s="22" t="n">
        <x:f>ABS(C38-D38)</x:f>
        <x:v>2869</x:v>
      </x:c>
      <x:c r="H38" s="2" t="str">
        <x:v>holdout</x:v>
      </x:c>
      <x:c r="I38" s="2" t="str">
        <x:v>Seasonal baseline</x:v>
      </x:c>
    </x:row>
    <x:row r="39" ht="22" customHeight="1">
      <x:c r="A39" s="2" t="str">
        <x:v>SYD-TYO</x:v>
      </x:c>
      <x:c r="B39" s="13" t="n">
        <x:v>46113</x:v>
      </x:c>
      <x:c r="C39" s="22" t="n">
        <x:v>30527</x:v>
      </x:c>
      <x:c r="D39" s="22" t="n">
        <x:v>32183</x:v>
      </x:c>
      <x:c r="E39" s="22" t="n">
        <x:v>33522</x:v>
      </x:c>
      <x:c r="F39" s="22" t="n">
        <x:v>32183</x:v>
      </x:c>
      <x:c r="G39" s="22" t="n">
        <x:f>ABS(C39-D39)</x:f>
        <x:v>1656</x:v>
      </x:c>
      <x:c r="H39" s="2" t="str">
        <x:v>holdout</x:v>
      </x:c>
      <x:c r="I39" s="2" t="str">
        <x:v>Seasonal baseline</x:v>
      </x:c>
    </x:row>
    <x:row r="40" ht="22" customHeight="1">
      <x:c r="A40" s="2" t="str">
        <x:v>SYD-TYO</x:v>
      </x:c>
      <x:c r="B40" s="13" t="n">
        <x:v>46143</x:v>
      </x:c>
      <x:c r="C40" s="22" t="n">
        <x:v>33434</x:v>
      </x:c>
      <x:c r="D40" s="22" t="n">
        <x:v>30808</x:v>
      </x:c>
      <x:c r="E40" s="22" t="n">
        <x:v>31387</x:v>
      </x:c>
      <x:c r="F40" s="22" t="n">
        <x:v>30808</x:v>
      </x:c>
      <x:c r="G40" s="22" t="n">
        <x:f>ABS(C40-D40)</x:f>
        <x:v>2626</x:v>
      </x:c>
      <x:c r="H40" s="2" t="str">
        <x:v>holdout</x:v>
      </x:c>
      <x:c r="I40" s="2" t="str">
        <x:v>Seasonal baseline</x:v>
      </x:c>
    </x:row>
    <x:row r="41" ht="22" customHeight="1">
      <x:c r="A41" s="2" t="str">
        <x:v>SYD-TYO</x:v>
      </x:c>
      <x:c r="B41" s="13" t="n">
        <x:v>46174</x:v>
      </x:c>
      <x:c r="C41" s="22" t="n">
        <x:v>28435</x:v>
      </x:c>
      <x:c r="D41" s="22" t="n">
        <x:v>26197</x:v>
      </x:c>
      <x:c r="E41" s="22" t="n">
        <x:v>26807</x:v>
      </x:c>
      <x:c r="F41" s="22" t="n">
        <x:v>26197</x:v>
      </x:c>
      <x:c r="G41" s="22" t="n">
        <x:f>ABS(C41-D41)</x:f>
        <x:v>2238</x:v>
      </x:c>
      <x:c r="H41" s="2" t="str">
        <x:v>holdout</x:v>
      </x:c>
      <x:c r="I41" s="2" t="str">
        <x:v>Seasonal baseline</x:v>
      </x:c>
    </x:row>
    <x:row r="42" ht="22" customHeight="1">
      <x:c r="A42" s="2" t="str">
        <x:v>BNE-TYO</x:v>
      </x:c>
      <x:c r="B42" s="13" t="n">
        <x:v>45658</x:v>
      </x:c>
      <x:c r="C42" s="22" t="n">
        <x:v>17168</x:v>
      </x:c>
      <x:c r="D42" s="22" t="n">
        <x:v>15715</x:v>
      </x:c>
      <x:c r="E42" s="22" t="n">
        <x:v>18858</x:v>
      </x:c>
      <x:c r="F42" s="22" t="n">
        <x:v>15715</x:v>
      </x:c>
      <x:c r="G42" s="22" t="n">
        <x:f>ABS(C42-D42)</x:f>
        <x:v>1453</x:v>
      </x:c>
      <x:c r="H42" s="2" t="str">
        <x:v>validation</x:v>
      </x:c>
      <x:c r="I42" s="2" t="str">
        <x:v>Seasonal baseline</x:v>
      </x:c>
    </x:row>
    <x:row r="43" ht="22" customHeight="1">
      <x:c r="A43" s="2" t="str">
        <x:v>BNE-TYO</x:v>
      </x:c>
      <x:c r="B43" s="13" t="n">
        <x:v>45689</x:v>
      </x:c>
      <x:c r="C43" s="22" t="n">
        <x:v>14997</x:v>
      </x:c>
      <x:c r="D43" s="22" t="n">
        <x:v>14665</x:v>
      </x:c>
      <x:c r="E43" s="22" t="n">
        <x:v>17598</x:v>
      </x:c>
      <x:c r="F43" s="22" t="n">
        <x:v>14665</x:v>
      </x:c>
      <x:c r="G43" s="22" t="n">
        <x:f>ABS(C43-D43)</x:f>
        <x:v>332</x:v>
      </x:c>
      <x:c r="H43" s="2" t="str">
        <x:v>validation</x:v>
      </x:c>
      <x:c r="I43" s="2" t="str">
        <x:v>Seasonal baseline</x:v>
      </x:c>
    </x:row>
    <x:row r="44" ht="22" customHeight="1">
      <x:c r="A44" s="2" t="str">
        <x:v>BNE-TYO</x:v>
      </x:c>
      <x:c r="B44" s="13" t="n">
        <x:v>45717</x:v>
      </x:c>
      <x:c r="C44" s="22" t="n">
        <x:v>16036</x:v>
      </x:c>
      <x:c r="D44" s="22" t="n">
        <x:v>16865</x:v>
      </x:c>
      <x:c r="E44" s="22" t="n">
        <x:v>20238</x:v>
      </x:c>
      <x:c r="F44" s="22" t="n">
        <x:v>16865</x:v>
      </x:c>
      <x:c r="G44" s="22" t="n">
        <x:f>ABS(C44-D44)</x:f>
        <x:v>829</x:v>
      </x:c>
      <x:c r="H44" s="2" t="str">
        <x:v>validation</x:v>
      </x:c>
      <x:c r="I44" s="2" t="str">
        <x:v>Seasonal baseline</x:v>
      </x:c>
    </x:row>
    <x:row r="45" ht="22" customHeight="1">
      <x:c r="A45" s="2" t="str">
        <x:v>BNE-TYO</x:v>
      </x:c>
      <x:c r="B45" s="13" t="n">
        <x:v>45748</x:v>
      </x:c>
      <x:c r="C45" s="22" t="n">
        <x:v>15936</x:v>
      </x:c>
      <x:c r="D45" s="22" t="n">
        <x:v>12469</x:v>
      </x:c>
      <x:c r="E45" s="22" t="n">
        <x:v>14963</x:v>
      </x:c>
      <x:c r="F45" s="22" t="n">
        <x:v>12469</x:v>
      </x:c>
      <x:c r="G45" s="22" t="n">
        <x:f>ABS(C45-D45)</x:f>
        <x:v>3467</x:v>
      </x:c>
      <x:c r="H45" s="2" t="str">
        <x:v>validation</x:v>
      </x:c>
      <x:c r="I45" s="2" t="str">
        <x:v>Seasonal baseline</x:v>
      </x:c>
    </x:row>
    <x:row r="46" ht="22" customHeight="1">
      <x:c r="A46" s="2" t="str">
        <x:v>BNE-TYO</x:v>
      </x:c>
      <x:c r="B46" s="13" t="n">
        <x:v>45778</x:v>
      </x:c>
      <x:c r="C46" s="22" t="n">
        <x:v>14314</x:v>
      </x:c>
      <x:c r="D46" s="22" t="n">
        <x:v>12321</x:v>
      </x:c>
      <x:c r="E46" s="22" t="n">
        <x:v>14102</x:v>
      </x:c>
      <x:c r="F46" s="22" t="n">
        <x:v>12321</x:v>
      </x:c>
      <x:c r="G46" s="22" t="n">
        <x:f>ABS(C46-D46)</x:f>
        <x:v>1993</x:v>
      </x:c>
      <x:c r="H46" s="2" t="str">
        <x:v>validation</x:v>
      </x:c>
      <x:c r="I46" s="2" t="str">
        <x:v>Seasonal baseline</x:v>
      </x:c>
    </x:row>
    <x:row r="47" ht="22" customHeight="1">
      <x:c r="A47" s="2" t="str">
        <x:v>BNE-TYO</x:v>
      </x:c>
      <x:c r="B47" s="13" t="n">
        <x:v>45809</x:v>
      </x:c>
      <x:c r="C47" s="22" t="n">
        <x:v>13582</x:v>
      </x:c>
      <x:c r="D47" s="22" t="n">
        <x:v>14317</x:v>
      </x:c>
      <x:c r="E47" s="22" t="n">
        <x:v>15530</x:v>
      </x:c>
      <x:c r="F47" s="22" t="n">
        <x:v>14317</x:v>
      </x:c>
      <x:c r="G47" s="22" t="n">
        <x:f>ABS(C47-D47)</x:f>
        <x:v>735</x:v>
      </x:c>
      <x:c r="H47" s="2" t="str">
        <x:v>validation</x:v>
      </x:c>
      <x:c r="I47" s="2" t="str">
        <x:v>Seasonal baseline</x:v>
      </x:c>
    </x:row>
    <x:row r="48" ht="22" customHeight="1">
      <x:c r="A48" s="2" t="str">
        <x:v>BNE-TYO</x:v>
      </x:c>
      <x:c r="B48" s="13" t="n">
        <x:v>45839</x:v>
      </x:c>
      <x:c r="C48" s="22" t="n">
        <x:v>10661</x:v>
      </x:c>
      <x:c r="D48" s="22" t="n">
        <x:v>9331</x:v>
      </x:c>
      <x:c r="E48" s="22" t="n">
        <x:v>10038</x:v>
      </x:c>
      <x:c r="F48" s="22" t="n">
        <x:v>9331</x:v>
      </x:c>
      <x:c r="G48" s="22" t="n">
        <x:f>ABS(C48-D48)</x:f>
        <x:v>1330</x:v>
      </x:c>
      <x:c r="H48" s="2" t="str">
        <x:v>validation</x:v>
      </x:c>
      <x:c r="I48" s="2" t="str">
        <x:v>Seasonal baseline</x:v>
      </x:c>
    </x:row>
    <x:row r="49" ht="22" customHeight="1">
      <x:c r="A49" s="2" t="str">
        <x:v>BNE-TYO</x:v>
      </x:c>
      <x:c r="B49" s="13" t="n">
        <x:v>45870</x:v>
      </x:c>
      <x:c r="C49" s="22" t="n">
        <x:v>16292</x:v>
      </x:c>
      <x:c r="D49" s="22" t="n">
        <x:v>15004</x:v>
      </x:c>
      <x:c r="E49" s="22" t="n">
        <x:v>16266</x:v>
      </x:c>
      <x:c r="F49" s="22" t="n">
        <x:v>15004</x:v>
      </x:c>
      <x:c r="G49" s="22" t="n">
        <x:f>ABS(C49-D49)</x:f>
        <x:v>1288</x:v>
      </x:c>
      <x:c r="H49" s="2" t="str">
        <x:v>validation</x:v>
      </x:c>
      <x:c r="I49" s="2" t="str">
        <x:v>Seasonal baseline</x:v>
      </x:c>
    </x:row>
    <x:row r="50" ht="22" customHeight="1">
      <x:c r="A50" s="2" t="str">
        <x:v>BNE-TYO</x:v>
      </x:c>
      <x:c r="B50" s="13" t="n">
        <x:v>45901</x:v>
      </x:c>
      <x:c r="C50" s="22" t="n">
        <x:v>16273</x:v>
      </x:c>
      <x:c r="D50" s="22" t="n">
        <x:v>15860</x:v>
      </x:c>
      <x:c r="E50" s="22" t="n">
        <x:v>17361</x:v>
      </x:c>
      <x:c r="F50" s="22" t="n">
        <x:v>15860</x:v>
      </x:c>
      <x:c r="G50" s="22" t="n">
        <x:f>ABS(C50-D50)</x:f>
        <x:v>413</x:v>
      </x:c>
      <x:c r="H50" s="2" t="str">
        <x:v>validation</x:v>
      </x:c>
      <x:c r="I50" s="2" t="str">
        <x:v>Seasonal baseline</x:v>
      </x:c>
    </x:row>
    <x:row r="51" ht="22" customHeight="1">
      <x:c r="A51" s="2" t="str">
        <x:v>BNE-TYO</x:v>
      </x:c>
      <x:c r="B51" s="13" t="n">
        <x:v>45931</x:v>
      </x:c>
      <x:c r="C51" s="22" t="n">
        <x:v>15702</x:v>
      </x:c>
      <x:c r="D51" s="22" t="n">
        <x:v>14998</x:v>
      </x:c>
      <x:c r="E51" s="22" t="n">
        <x:v>16605</x:v>
      </x:c>
      <x:c r="F51" s="22" t="n">
        <x:v>14998</x:v>
      </x:c>
      <x:c r="G51" s="22" t="n">
        <x:f>ABS(C51-D51)</x:f>
        <x:v>704</x:v>
      </x:c>
      <x:c r="H51" s="2" t="str">
        <x:v>validation</x:v>
      </x:c>
      <x:c r="I51" s="2" t="str">
        <x:v>Seasonal baseline</x:v>
      </x:c>
    </x:row>
    <x:row r="52" ht="22" customHeight="1">
      <x:c r="A52" s="2" t="str">
        <x:v>BNE-TYO</x:v>
      </x:c>
      <x:c r="B52" s="13" t="n">
        <x:v>45962</x:v>
      </x:c>
      <x:c r="C52" s="22" t="n">
        <x:v>15977</x:v>
      </x:c>
      <x:c r="D52" s="22" t="n">
        <x:v>16217</x:v>
      </x:c>
      <x:c r="E52" s="22" t="n">
        <x:v>17330</x:v>
      </x:c>
      <x:c r="F52" s="22" t="n">
        <x:v>16217</x:v>
      </x:c>
      <x:c r="G52" s="22" t="n">
        <x:f>ABS(C52-D52)</x:f>
        <x:v>240</x:v>
      </x:c>
      <x:c r="H52" s="2" t="str">
        <x:v>validation</x:v>
      </x:c>
      <x:c r="I52" s="2" t="str">
        <x:v>Seasonal baseline</x:v>
      </x:c>
    </x:row>
    <x:row r="53" ht="22" customHeight="1">
      <x:c r="A53" s="2" t="str">
        <x:v>BNE-TYO</x:v>
      </x:c>
      <x:c r="B53" s="13" t="n">
        <x:v>45992</x:v>
      </x:c>
      <x:c r="C53" s="22" t="n">
        <x:v>17992</x:v>
      </x:c>
      <x:c r="D53" s="22" t="n">
        <x:v>18064</x:v>
      </x:c>
      <x:c r="E53" s="22" t="n">
        <x:v>18772</x:v>
      </x:c>
      <x:c r="F53" s="22" t="n">
        <x:v>18064</x:v>
      </x:c>
      <x:c r="G53" s="22" t="n">
        <x:f>ABS(C53-D53)</x:f>
        <x:v>72</x:v>
      </x:c>
      <x:c r="H53" s="2" t="str">
        <x:v>validation</x:v>
      </x:c>
      <x:c r="I53" s="2" t="str">
        <x:v>Seasonal baseline</x:v>
      </x:c>
    </x:row>
    <x:row r="54" ht="22" customHeight="1">
      <x:c r="A54" s="2" t="str">
        <x:v>BNE-TYO</x:v>
      </x:c>
      <x:c r="B54" s="13" t="n">
        <x:v>46023</x:v>
      </x:c>
      <x:c r="C54" s="22" t="n">
        <x:v>16247</x:v>
      </x:c>
      <x:c r="D54" s="22" t="n">
        <x:v>17168</x:v>
      </x:c>
      <x:c r="E54" s="22" t="n">
        <x:v>17977</x:v>
      </x:c>
      <x:c r="F54" s="22" t="n">
        <x:v>17168</x:v>
      </x:c>
      <x:c r="G54" s="22" t="n">
        <x:f>ABS(C54-D54)</x:f>
        <x:v>921</x:v>
      </x:c>
      <x:c r="H54" s="2" t="str">
        <x:v>holdout</x:v>
      </x:c>
      <x:c r="I54" s="2" t="str">
        <x:v>Seasonal baseline</x:v>
      </x:c>
    </x:row>
    <x:row r="55" ht="22" customHeight="1">
      <x:c r="A55" s="2" t="str">
        <x:v>BNE-TYO</x:v>
      </x:c>
      <x:c r="B55" s="13" t="n">
        <x:v>46054</x:v>
      </x:c>
      <x:c r="C55" s="22" t="n">
        <x:v>15322</x:v>
      </x:c>
      <x:c r="D55" s="22" t="n">
        <x:v>14997</x:v>
      </x:c>
      <x:c r="E55" s="22" t="n">
        <x:v>15213</x:v>
      </x:c>
      <x:c r="F55" s="22" t="n">
        <x:v>14997</x:v>
      </x:c>
      <x:c r="G55" s="22" t="n">
        <x:f>ABS(C55-D55)</x:f>
        <x:v>325</x:v>
      </x:c>
      <x:c r="H55" s="2" t="str">
        <x:v>holdout</x:v>
      </x:c>
      <x:c r="I55" s="2" t="str">
        <x:v>Seasonal baseline</x:v>
      </x:c>
    </x:row>
    <x:row r="56" ht="22" customHeight="1">
      <x:c r="A56" s="2" t="str">
        <x:v>BNE-TYO</x:v>
      </x:c>
      <x:c r="B56" s="13" t="n">
        <x:v>46082</x:v>
      </x:c>
      <x:c r="C56" s="22" t="n">
        <x:v>17770</x:v>
      </x:c>
      <x:c r="D56" s="22" t="n">
        <x:v>16036</x:v>
      </x:c>
      <x:c r="E56" s="22" t="n">
        <x:v>16095</x:v>
      </x:c>
      <x:c r="F56" s="22" t="n">
        <x:v>16036</x:v>
      </x:c>
      <x:c r="G56" s="22" t="n">
        <x:f>ABS(C56-D56)</x:f>
        <x:v>1734</x:v>
      </x:c>
      <x:c r="H56" s="2" t="str">
        <x:v>holdout</x:v>
      </x:c>
      <x:c r="I56" s="2" t="str">
        <x:v>Seasonal baseline</x:v>
      </x:c>
    </x:row>
    <x:row r="57" ht="22" customHeight="1">
      <x:c r="A57" s="2" t="str">
        <x:v>BNE-TYO</x:v>
      </x:c>
      <x:c r="B57" s="13" t="n">
        <x:v>46113</x:v>
      </x:c>
      <x:c r="C57" s="22" t="n">
        <x:v>14668</x:v>
      </x:c>
      <x:c r="D57" s="22" t="n">
        <x:v>15936</x:v>
      </x:c>
      <x:c r="E57" s="22" t="n">
        <x:v>16213</x:v>
      </x:c>
      <x:c r="F57" s="22" t="n">
        <x:v>15936</x:v>
      </x:c>
      <x:c r="G57" s="22" t="n">
        <x:f>ABS(C57-D57)</x:f>
        <x:v>1268</x:v>
      </x:c>
      <x:c r="H57" s="2" t="str">
        <x:v>holdout</x:v>
      </x:c>
      <x:c r="I57" s="2" t="str">
        <x:v>Seasonal baseline</x:v>
      </x:c>
    </x:row>
    <x:row r="58" ht="22" customHeight="1">
      <x:c r="A58" s="2" t="str">
        <x:v>BNE-TYO</x:v>
      </x:c>
      <x:c r="B58" s="13" t="n">
        <x:v>46143</x:v>
      </x:c>
      <x:c r="C58" s="22" t="n">
        <x:v>15204</x:v>
      </x:c>
      <x:c r="D58" s="22" t="n">
        <x:v>14314</x:v>
      </x:c>
      <x:c r="E58" s="22" t="n">
        <x:v>14261</x:v>
      </x:c>
      <x:c r="F58" s="22" t="n">
        <x:v>14314</x:v>
      </x:c>
      <x:c r="G58" s="22" t="n">
        <x:f>ABS(C58-D58)</x:f>
        <x:v>890</x:v>
      </x:c>
      <x:c r="H58" s="2" t="str">
        <x:v>holdout</x:v>
      </x:c>
      <x:c r="I58" s="2" t="str">
        <x:v>Seasonal baseline</x:v>
      </x:c>
    </x:row>
    <x:row r="59" ht="22" customHeight="1">
      <x:c r="A59" s="2" t="str">
        <x:v>BNE-TYO</x:v>
      </x:c>
      <x:c r="B59" s="13" t="n">
        <x:v>46174</x:v>
      </x:c>
      <x:c r="C59" s="22" t="n">
        <x:v>13719</x:v>
      </x:c>
      <x:c r="D59" s="22" t="n">
        <x:v>13582</x:v>
      </x:c>
      <x:c r="E59" s="22" t="n">
        <x:v>13706</x:v>
      </x:c>
      <x:c r="F59" s="22" t="n">
        <x:v>13582</x:v>
      </x:c>
      <x:c r="G59" s="22" t="n">
        <x:f>ABS(C59-D59)</x:f>
        <x:v>137</x:v>
      </x:c>
      <x:c r="H59" s="2" t="str">
        <x:v>holdout</x:v>
      </x:c>
      <x:c r="I59" s="2" t="str">
        <x:v>Seasonal baseline</x:v>
      </x:c>
    </x:row>
    <x:row r="60" ht="22" customHeight="1">
      <x:c r="A60" s="2" t="str">
        <x:v>MEL-SGN</x:v>
      </x:c>
      <x:c r="B60" s="13" t="n">
        <x:v>45658</x:v>
      </x:c>
      <x:c r="C60" s="22" t="n">
        <x:v>21970</x:v>
      </x:c>
      <x:c r="D60" s="22" t="n">
        <x:v>19292</x:v>
      </x:c>
      <x:c r="E60" s="22" t="n">
        <x:v>20429</x:v>
      </x:c>
      <x:c r="F60" s="22" t="n">
        <x:v>19292</x:v>
      </x:c>
      <x:c r="G60" s="22" t="n">
        <x:f>ABS(C60-D60)</x:f>
        <x:v>2678</x:v>
      </x:c>
      <x:c r="H60" s="2" t="str">
        <x:v>validation</x:v>
      </x:c>
      <x:c r="I60" s="2" t="str">
        <x:v>Seasonal baseline</x:v>
      </x:c>
    </x:row>
    <x:row r="61" ht="22" customHeight="1">
      <x:c r="A61" s="2" t="str">
        <x:v>MEL-SGN</x:v>
      </x:c>
      <x:c r="B61" s="13" t="n">
        <x:v>45689</x:v>
      </x:c>
      <x:c r="C61" s="22" t="n">
        <x:v>15321</x:v>
      </x:c>
      <x:c r="D61" s="22" t="n">
        <x:v>14948</x:v>
      </x:c>
      <x:c r="E61" s="22" t="n">
        <x:v>16350</x:v>
      </x:c>
      <x:c r="F61" s="22" t="n">
        <x:v>14948</x:v>
      </x:c>
      <x:c r="G61" s="22" t="n">
        <x:f>ABS(C61-D61)</x:f>
        <x:v>373</x:v>
      </x:c>
      <x:c r="H61" s="2" t="str">
        <x:v>validation</x:v>
      </x:c>
      <x:c r="I61" s="2" t="str">
        <x:v>Seasonal baseline</x:v>
      </x:c>
    </x:row>
    <x:row r="62" ht="22" customHeight="1">
      <x:c r="A62" s="2" t="str">
        <x:v>MEL-SGN</x:v>
      </x:c>
      <x:c r="B62" s="13" t="n">
        <x:v>45717</x:v>
      </x:c>
      <x:c r="C62" s="22" t="n">
        <x:v>18601</x:v>
      </x:c>
      <x:c r="D62" s="22" t="n">
        <x:v>18191</x:v>
      </x:c>
      <x:c r="E62" s="22" t="n">
        <x:v>19925</x:v>
      </x:c>
      <x:c r="F62" s="22" t="n">
        <x:v>18191</x:v>
      </x:c>
      <x:c r="G62" s="22" t="n">
        <x:f>ABS(C62-D62)</x:f>
        <x:v>410</x:v>
      </x:c>
      <x:c r="H62" s="2" t="str">
        <x:v>validation</x:v>
      </x:c>
      <x:c r="I62" s="2" t="str">
        <x:v>Seasonal baseline</x:v>
      </x:c>
    </x:row>
    <x:row r="63" ht="22" customHeight="1">
      <x:c r="A63" s="2" t="str">
        <x:v>MEL-SGN</x:v>
      </x:c>
      <x:c r="B63" s="13" t="n">
        <x:v>45748</x:v>
      </x:c>
      <x:c r="C63" s="22" t="n">
        <x:v>19431</x:v>
      </x:c>
      <x:c r="D63" s="22" t="n">
        <x:v>15941</x:v>
      </x:c>
      <x:c r="E63" s="22" t="n">
        <x:v>17333</x:v>
      </x:c>
      <x:c r="F63" s="22" t="n">
        <x:v>15941</x:v>
      </x:c>
      <x:c r="G63" s="22" t="n">
        <x:f>ABS(C63-D63)</x:f>
        <x:v>3490</x:v>
      </x:c>
      <x:c r="H63" s="2" t="str">
        <x:v>validation</x:v>
      </x:c>
      <x:c r="I63" s="2" t="str">
        <x:v>Seasonal baseline</x:v>
      </x:c>
    </x:row>
    <x:row r="64" ht="22" customHeight="1">
      <x:c r="A64" s="2" t="str">
        <x:v>MEL-SGN</x:v>
      </x:c>
      <x:c r="B64" s="13" t="n">
        <x:v>45778</x:v>
      </x:c>
      <x:c r="C64" s="22" t="n">
        <x:v>17684</x:v>
      </x:c>
      <x:c r="D64" s="22" t="n">
        <x:v>16469</x:v>
      </x:c>
      <x:c r="E64" s="22" t="n">
        <x:v>18613</x:v>
      </x:c>
      <x:c r="F64" s="22" t="n">
        <x:v>16469</x:v>
      </x:c>
      <x:c r="G64" s="22" t="n">
        <x:f>ABS(C64-D64)</x:f>
        <x:v>1215</x:v>
      </x:c>
      <x:c r="H64" s="2" t="str">
        <x:v>validation</x:v>
      </x:c>
      <x:c r="I64" s="2" t="str">
        <x:v>Seasonal baseline</x:v>
      </x:c>
    </x:row>
    <x:row r="65" ht="22" customHeight="1">
      <x:c r="A65" s="2" t="str">
        <x:v>MEL-SGN</x:v>
      </x:c>
      <x:c r="B65" s="13" t="n">
        <x:v>45809</x:v>
      </x:c>
      <x:c r="C65" s="22" t="n">
        <x:v>20272</x:v>
      </x:c>
      <x:c r="D65" s="22" t="n">
        <x:v>19529</x:v>
      </x:c>
      <x:c r="E65" s="22" t="n">
        <x:v>21820</x:v>
      </x:c>
      <x:c r="F65" s="22" t="n">
        <x:v>19529</x:v>
      </x:c>
      <x:c r="G65" s="22" t="n">
        <x:f>ABS(C65-D65)</x:f>
        <x:v>743</x:v>
      </x:c>
      <x:c r="H65" s="2" t="str">
        <x:v>validation</x:v>
      </x:c>
      <x:c r="I65" s="2" t="str">
        <x:v>Seasonal baseline</x:v>
      </x:c>
    </x:row>
    <x:row r="66" ht="22" customHeight="1">
      <x:c r="A66" s="2" t="str">
        <x:v>MEL-SGN</x:v>
      </x:c>
      <x:c r="B66" s="13" t="n">
        <x:v>45839</x:v>
      </x:c>
      <x:c r="C66" s="22" t="n">
        <x:v>18992</x:v>
      </x:c>
      <x:c r="D66" s="22" t="n">
        <x:v>17824</x:v>
      </x:c>
      <x:c r="E66" s="22" t="n">
        <x:v>19360</x:v>
      </x:c>
      <x:c r="F66" s="22" t="n">
        <x:v>17824</x:v>
      </x:c>
      <x:c r="G66" s="22" t="n">
        <x:f>ABS(C66-D66)</x:f>
        <x:v>1168</x:v>
      </x:c>
      <x:c r="H66" s="2" t="str">
        <x:v>validation</x:v>
      </x:c>
      <x:c r="I66" s="2" t="str">
        <x:v>Seasonal baseline</x:v>
      </x:c>
    </x:row>
    <x:row r="67" ht="22" customHeight="1">
      <x:c r="A67" s="2" t="str">
        <x:v>MEL-SGN</x:v>
      </x:c>
      <x:c r="B67" s="13" t="n">
        <x:v>45870</x:v>
      </x:c>
      <x:c r="C67" s="22" t="n">
        <x:v>17354</x:v>
      </x:c>
      <x:c r="D67" s="22" t="n">
        <x:v>16391</x:v>
      </x:c>
      <x:c r="E67" s="22" t="n">
        <x:v>17603</x:v>
      </x:c>
      <x:c r="F67" s="22" t="n">
        <x:v>16391</x:v>
      </x:c>
      <x:c r="G67" s="22" t="n">
        <x:f>ABS(C67-D67)</x:f>
        <x:v>963</x:v>
      </x:c>
      <x:c r="H67" s="2" t="str">
        <x:v>validation</x:v>
      </x:c>
      <x:c r="I67" s="2" t="str">
        <x:v>Seasonal baseline</x:v>
      </x:c>
    </x:row>
    <x:row r="68" ht="22" customHeight="1">
      <x:c r="A68" s="2" t="str">
        <x:v>MEL-SGN</x:v>
      </x:c>
      <x:c r="B68" s="13" t="n">
        <x:v>45901</x:v>
      </x:c>
      <x:c r="C68" s="22" t="n">
        <x:v>18637</x:v>
      </x:c>
      <x:c r="D68" s="22" t="n">
        <x:v>19061</x:v>
      </x:c>
      <x:c r="E68" s="22" t="n">
        <x:v>20578</x:v>
      </x:c>
      <x:c r="F68" s="22" t="n">
        <x:v>19061</x:v>
      </x:c>
      <x:c r="G68" s="22" t="n">
        <x:f>ABS(C68-D68)</x:f>
        <x:v>424</x:v>
      </x:c>
      <x:c r="H68" s="2" t="str">
        <x:v>validation</x:v>
      </x:c>
      <x:c r="I68" s="2" t="str">
        <x:v>Seasonal baseline</x:v>
      </x:c>
    </x:row>
    <x:row r="69" ht="22" customHeight="1">
      <x:c r="A69" s="2" t="str">
        <x:v>MEL-SGN</x:v>
      </x:c>
      <x:c r="B69" s="13" t="n">
        <x:v>45931</x:v>
      </x:c>
      <x:c r="C69" s="22" t="n">
        <x:v>18709</x:v>
      </x:c>
      <x:c r="D69" s="22" t="n">
        <x:v>16026</x:v>
      </x:c>
      <x:c r="E69" s="22" t="n">
        <x:v>17182</x:v>
      </x:c>
      <x:c r="F69" s="22" t="n">
        <x:v>16026</x:v>
      </x:c>
      <x:c r="G69" s="22" t="n">
        <x:f>ABS(C69-D69)</x:f>
        <x:v>2683</x:v>
      </x:c>
      <x:c r="H69" s="2" t="str">
        <x:v>validation</x:v>
      </x:c>
      <x:c r="I69" s="2" t="str">
        <x:v>Seasonal baseline</x:v>
      </x:c>
    </x:row>
    <x:row r="70" ht="22" customHeight="1">
      <x:c r="A70" s="2" t="str">
        <x:v>MEL-SGN</x:v>
      </x:c>
      <x:c r="B70" s="13" t="n">
        <x:v>45962</x:v>
      </x:c>
      <x:c r="C70" s="22" t="n">
        <x:v>20446</x:v>
      </x:c>
      <x:c r="D70" s="22" t="n">
        <x:v>21005</x:v>
      </x:c>
      <x:c r="E70" s="22" t="n">
        <x:v>22340</x:v>
      </x:c>
      <x:c r="F70" s="22" t="n">
        <x:v>21005</x:v>
      </x:c>
      <x:c r="G70" s="22" t="n">
        <x:f>ABS(C70-D70)</x:f>
        <x:v>559</x:v>
      </x:c>
      <x:c r="H70" s="2" t="str">
        <x:v>validation</x:v>
      </x:c>
      <x:c r="I70" s="2" t="str">
        <x:v>Seasonal baseline</x:v>
      </x:c>
    </x:row>
    <x:row r="71" ht="22" customHeight="1">
      <x:c r="A71" s="2" t="str">
        <x:v>MEL-SGN</x:v>
      </x:c>
      <x:c r="B71" s="13" t="n">
        <x:v>45992</x:v>
      </x:c>
      <x:c r="C71" s="22" t="n">
        <x:v>24410</x:v>
      </x:c>
      <x:c r="D71" s="22" t="n">
        <x:v>25542</x:v>
      </x:c>
      <x:c r="E71" s="22" t="n">
        <x:v>26738</x:v>
      </x:c>
      <x:c r="F71" s="22" t="n">
        <x:v>25542</x:v>
      </x:c>
      <x:c r="G71" s="22" t="n">
        <x:f>ABS(C71-D71)</x:f>
        <x:v>1132</x:v>
      </x:c>
      <x:c r="H71" s="2" t="str">
        <x:v>validation</x:v>
      </x:c>
      <x:c r="I71" s="2" t="str">
        <x:v>Seasonal baseline</x:v>
      </x:c>
    </x:row>
    <x:row r="72" ht="22" customHeight="1">
      <x:c r="A72" s="2" t="str">
        <x:v>MEL-SGN</x:v>
      </x:c>
      <x:c r="B72" s="13" t="n">
        <x:v>46023</x:v>
      </x:c>
      <x:c r="C72" s="22" t="n">
        <x:v>21395</x:v>
      </x:c>
      <x:c r="D72" s="22" t="n">
        <x:v>21970</x:v>
      </x:c>
      <x:c r="E72" s="22" t="n">
        <x:v>22697</x:v>
      </x:c>
      <x:c r="F72" s="22" t="n">
        <x:v>21970</x:v>
      </x:c>
      <x:c r="G72" s="22" t="n">
        <x:f>ABS(C72-D72)</x:f>
        <x:v>575</x:v>
      </x:c>
      <x:c r="H72" s="2" t="str">
        <x:v>holdout</x:v>
      </x:c>
      <x:c r="I72" s="2" t="str">
        <x:v>Seasonal baseline</x:v>
      </x:c>
    </x:row>
    <x:row r="73" ht="22" customHeight="1">
      <x:c r="A73" s="2" t="str">
        <x:v>MEL-SGN</x:v>
      </x:c>
      <x:c r="B73" s="13" t="n">
        <x:v>46054</x:v>
      </x:c>
      <x:c r="C73" s="22" t="n">
        <x:v>18367</x:v>
      </x:c>
      <x:c r="D73" s="22" t="n">
        <x:v>15321</x:v>
      </x:c>
      <x:c r="E73" s="22" t="n">
        <x:v>15594</x:v>
      </x:c>
      <x:c r="F73" s="22" t="n">
        <x:v>15321</x:v>
      </x:c>
      <x:c r="G73" s="22" t="n">
        <x:f>ABS(C73-D73)</x:f>
        <x:v>3046</x:v>
      </x:c>
      <x:c r="H73" s="2" t="str">
        <x:v>holdout</x:v>
      </x:c>
      <x:c r="I73" s="2" t="str">
        <x:v>Seasonal baseline</x:v>
      </x:c>
    </x:row>
    <x:row r="74" ht="22" customHeight="1">
      <x:c r="A74" s="2" t="str">
        <x:v>MEL-SGN</x:v>
      </x:c>
      <x:c r="B74" s="13" t="n">
        <x:v>46082</x:v>
      </x:c>
      <x:c r="C74" s="22" t="n">
        <x:v>21466</x:v>
      </x:c>
      <x:c r="D74" s="22" t="n">
        <x:v>18601</x:v>
      </x:c>
      <x:c r="E74" s="22" t="n">
        <x:v>19366</x:v>
      </x:c>
      <x:c r="F74" s="22" t="n">
        <x:v>18601</x:v>
      </x:c>
      <x:c r="G74" s="22" t="n">
        <x:f>ABS(C74-D74)</x:f>
        <x:v>2865</x:v>
      </x:c>
      <x:c r="H74" s="2" t="str">
        <x:v>holdout</x:v>
      </x:c>
      <x:c r="I74" s="2" t="str">
        <x:v>Seasonal baseline</x:v>
      </x:c>
    </x:row>
    <x:row r="75" ht="22" customHeight="1">
      <x:c r="A75" s="2" t="str">
        <x:v>MEL-SGN</x:v>
      </x:c>
      <x:c r="B75" s="13" t="n">
        <x:v>46113</x:v>
      </x:c>
      <x:c r="C75" s="22" t="n">
        <x:v>19958</x:v>
      </x:c>
      <x:c r="D75" s="22" t="n">
        <x:v>19431</x:v>
      </x:c>
      <x:c r="E75" s="22" t="n">
        <x:v>20801</x:v>
      </x:c>
      <x:c r="F75" s="22" t="n">
        <x:v>19431</x:v>
      </x:c>
      <x:c r="G75" s="22" t="n">
        <x:f>ABS(C75-D75)</x:f>
        <x:v>527</x:v>
      </x:c>
      <x:c r="H75" s="2" t="str">
        <x:v>holdout</x:v>
      </x:c>
      <x:c r="I75" s="2" t="str">
        <x:v>Seasonal baseline</x:v>
      </x:c>
    </x:row>
    <x:row r="76" ht="22" customHeight="1">
      <x:c r="A76" s="2" t="str">
        <x:v>MEL-SGN</x:v>
      </x:c>
      <x:c r="B76" s="13" t="n">
        <x:v>46143</x:v>
      </x:c>
      <x:c r="C76" s="22" t="n">
        <x:v>20718</x:v>
      </x:c>
      <x:c r="D76" s="22" t="n">
        <x:v>17684</x:v>
      </x:c>
      <x:c r="E76" s="22" t="n">
        <x:v>18518</x:v>
      </x:c>
      <x:c r="F76" s="22" t="n">
        <x:v>17684</x:v>
      </x:c>
      <x:c r="G76" s="22" t="n">
        <x:f>ABS(C76-D76)</x:f>
        <x:v>3034</x:v>
      </x:c>
      <x:c r="H76" s="2" t="str">
        <x:v>holdout</x:v>
      </x:c>
      <x:c r="I76" s="2" t="str">
        <x:v>Seasonal baseline</x:v>
      </x:c>
    </x:row>
    <x:row r="77" ht="22" customHeight="1">
      <x:c r="A77" s="2" t="str">
        <x:v>MEL-SGN</x:v>
      </x:c>
      <x:c r="B77" s="13" t="n">
        <x:v>46174</x:v>
      </x:c>
      <x:c r="C77" s="22" t="n">
        <x:v>21227</x:v>
      </x:c>
      <x:c r="D77" s="22" t="n">
        <x:v>20272</x:v>
      </x:c>
      <x:c r="E77" s="22" t="n">
        <x:v>21897</x:v>
      </x:c>
      <x:c r="F77" s="22" t="n">
        <x:v>20272</x:v>
      </x:c>
      <x:c r="G77" s="22" t="n">
        <x:f>ABS(C77-D77)</x:f>
        <x:v>955</x:v>
      </x:c>
      <x:c r="H77" s="2" t="str">
        <x:v>holdout</x:v>
      </x:c>
      <x:c r="I77" s="2" t="str">
        <x:v>Seasonal baseline</x:v>
      </x:c>
    </x:row>
    <x:row r="78" ht="22" customHeight="1">
      <x:c r="A78" s="2" t="str">
        <x:v>SYD-SEL</x:v>
      </x:c>
      <x:c r="B78" s="13" t="n">
        <x:v>45658</x:v>
      </x:c>
      <x:c r="C78" s="22" t="n">
        <x:v>35603</x:v>
      </x:c>
      <x:c r="D78" s="22" t="n">
        <x:v>31721</x:v>
      </x:c>
      <x:c r="E78" s="22" t="n">
        <x:v>31641</x:v>
      </x:c>
      <x:c r="F78" s="22" t="n">
        <x:v>31721</x:v>
      </x:c>
      <x:c r="G78" s="22" t="n">
        <x:f>ABS(C78-D78)</x:f>
        <x:v>3882</x:v>
      </x:c>
      <x:c r="H78" s="2" t="str">
        <x:v>validation</x:v>
      </x:c>
      <x:c r="I78" s="2" t="str">
        <x:v>Seasonal baseline</x:v>
      </x:c>
    </x:row>
    <x:row r="79" ht="22" customHeight="1">
      <x:c r="A79" s="2" t="str">
        <x:v>SYD-SEL</x:v>
      </x:c>
      <x:c r="B79" s="13" t="n">
        <x:v>45689</x:v>
      </x:c>
      <x:c r="C79" s="22" t="n">
        <x:v>32205</x:v>
      </x:c>
      <x:c r="D79" s="22" t="n">
        <x:v>31770</x:v>
      </x:c>
      <x:c r="E79" s="22" t="n">
        <x:v>31516</x:v>
      </x:c>
      <x:c r="F79" s="22" t="n">
        <x:v>31770</x:v>
      </x:c>
      <x:c r="G79" s="22" t="n">
        <x:f>ABS(C79-D79)</x:f>
        <x:v>435</x:v>
      </x:c>
      <x:c r="H79" s="2" t="str">
        <x:v>validation</x:v>
      </x:c>
      <x:c r="I79" s="2" t="str">
        <x:v>Seasonal baseline</x:v>
      </x:c>
    </x:row>
    <x:row r="80" ht="22" customHeight="1">
      <x:c r="A80" s="2" t="str">
        <x:v>SYD-SEL</x:v>
      </x:c>
      <x:c r="B80" s="13" t="n">
        <x:v>45717</x:v>
      </x:c>
      <x:c r="C80" s="22" t="n">
        <x:v>33249</x:v>
      </x:c>
      <x:c r="D80" s="22" t="n">
        <x:v>32786</x:v>
      </x:c>
      <x:c r="E80" s="22" t="n">
        <x:v>32866</x:v>
      </x:c>
      <x:c r="F80" s="22" t="n">
        <x:v>32786</x:v>
      </x:c>
      <x:c r="G80" s="22" t="n">
        <x:f>ABS(C80-D80)</x:f>
        <x:v>463</x:v>
      </x:c>
      <x:c r="H80" s="2" t="str">
        <x:v>validation</x:v>
      </x:c>
      <x:c r="I80" s="2" t="str">
        <x:v>Seasonal baseline</x:v>
      </x:c>
    </x:row>
    <x:row r="81" ht="22" customHeight="1">
      <x:c r="A81" s="2" t="str">
        <x:v>SYD-SEL</x:v>
      </x:c>
      <x:c r="B81" s="13" t="n">
        <x:v>45748</x:v>
      </x:c>
      <x:c r="C81" s="22" t="n">
        <x:v>29066</x:v>
      </x:c>
      <x:c r="D81" s="22" t="n">
        <x:v>28393</x:v>
      </x:c>
      <x:c r="E81" s="22" t="n">
        <x:v>28942</x:v>
      </x:c>
      <x:c r="F81" s="22" t="n">
        <x:v>28393</x:v>
      </x:c>
      <x:c r="G81" s="22" t="n">
        <x:f>ABS(C81-D81)</x:f>
        <x:v>673</x:v>
      </x:c>
      <x:c r="H81" s="2" t="str">
        <x:v>validation</x:v>
      </x:c>
      <x:c r="I81" s="2" t="str">
        <x:v>Seasonal baseline</x:v>
      </x:c>
    </x:row>
    <x:row r="82" ht="22" customHeight="1">
      <x:c r="A82" s="2" t="str">
        <x:v>SYD-SEL</x:v>
      </x:c>
      <x:c r="B82" s="13" t="n">
        <x:v>45778</x:v>
      </x:c>
      <x:c r="C82" s="22" t="n">
        <x:v>25338</x:v>
      </x:c>
      <x:c r="D82" s="22" t="n">
        <x:v>28476</x:v>
      </x:c>
      <x:c r="E82" s="22" t="n">
        <x:v>29301</x:v>
      </x:c>
      <x:c r="F82" s="22" t="n">
        <x:v>28476</x:v>
      </x:c>
      <x:c r="G82" s="22" t="n">
        <x:f>ABS(C82-D82)</x:f>
        <x:v>3138</x:v>
      </x:c>
      <x:c r="H82" s="2" t="str">
        <x:v>validation</x:v>
      </x:c>
      <x:c r="I82" s="2" t="str">
        <x:v>Seasonal baseline</x:v>
      </x:c>
    </x:row>
    <x:row r="83" ht="22" customHeight="1">
      <x:c r="A83" s="2" t="str">
        <x:v>SYD-SEL</x:v>
      </x:c>
      <x:c r="B83" s="13" t="n">
        <x:v>45809</x:v>
      </x:c>
      <x:c r="C83" s="22" t="n">
        <x:v>26939</x:v>
      </x:c>
      <x:c r="D83" s="22" t="n">
        <x:v>27881</x:v>
      </x:c>
      <x:c r="E83" s="22" t="n">
        <x:v>28505</x:v>
      </x:c>
      <x:c r="F83" s="22" t="n">
        <x:v>27881</x:v>
      </x:c>
      <x:c r="G83" s="22" t="n">
        <x:f>ABS(C83-D83)</x:f>
        <x:v>942</x:v>
      </x:c>
      <x:c r="H83" s="2" t="str">
        <x:v>validation</x:v>
      </x:c>
      <x:c r="I83" s="2" t="str">
        <x:v>Seasonal baseline</x:v>
      </x:c>
    </x:row>
    <x:row r="84" ht="22" customHeight="1">
      <x:c r="A84" s="2" t="str">
        <x:v>SYD-SEL</x:v>
      </x:c>
      <x:c r="B84" s="13" t="n">
        <x:v>45839</x:v>
      </x:c>
      <x:c r="C84" s="22" t="n">
        <x:v>25250</x:v>
      </x:c>
      <x:c r="D84" s="22" t="n">
        <x:v>24881</x:v>
      </x:c>
      <x:c r="E84" s="22" t="n">
        <x:v>25005</x:v>
      </x:c>
      <x:c r="F84" s="22" t="n">
        <x:v>24881</x:v>
      </x:c>
      <x:c r="G84" s="22" t="n">
        <x:f>ABS(C84-D84)</x:f>
        <x:v>369</x:v>
      </x:c>
      <x:c r="H84" s="2" t="str">
        <x:v>validation</x:v>
      </x:c>
      <x:c r="I84" s="2" t="str">
        <x:v>Seasonal baseline</x:v>
      </x:c>
    </x:row>
    <x:row r="85" ht="22" customHeight="1">
      <x:c r="A85" s="2" t="str">
        <x:v>SYD-SEL</x:v>
      </x:c>
      <x:c r="B85" s="13" t="n">
        <x:v>45870</x:v>
      </x:c>
      <x:c r="C85" s="22" t="n">
        <x:v>31527</x:v>
      </x:c>
      <x:c r="D85" s="22" t="n">
        <x:v>30825</x:v>
      </x:c>
      <x:c r="E85" s="22" t="n">
        <x:v>30426</x:v>
      </x:c>
      <x:c r="F85" s="22" t="n">
        <x:v>30825</x:v>
      </x:c>
      <x:c r="G85" s="22" t="n">
        <x:f>ABS(C85-D85)</x:f>
        <x:v>702</x:v>
      </x:c>
      <x:c r="H85" s="2" t="str">
        <x:v>validation</x:v>
      </x:c>
      <x:c r="I85" s="2" t="str">
        <x:v>Seasonal baseline</x:v>
      </x:c>
    </x:row>
    <x:row r="86" ht="22" customHeight="1">
      <x:c r="A86" s="2" t="str">
        <x:v>SYD-SEL</x:v>
      </x:c>
      <x:c r="B86" s="13" t="n">
        <x:v>45901</x:v>
      </x:c>
      <x:c r="C86" s="22" t="n">
        <x:v>30515</x:v>
      </x:c>
      <x:c r="D86" s="22" t="n">
        <x:v>29257</x:v>
      </x:c>
      <x:c r="E86" s="22" t="n">
        <x:v>28923</x:v>
      </x:c>
      <x:c r="F86" s="22" t="n">
        <x:v>29257</x:v>
      </x:c>
      <x:c r="G86" s="22" t="n">
        <x:f>ABS(C86-D86)</x:f>
        <x:v>1258</x:v>
      </x:c>
      <x:c r="H86" s="2" t="str">
        <x:v>validation</x:v>
      </x:c>
      <x:c r="I86" s="2" t="str">
        <x:v>Seasonal baseline</x:v>
      </x:c>
    </x:row>
    <x:row r="87" ht="22" customHeight="1">
      <x:c r="A87" s="2" t="str">
        <x:v>SYD-SEL</x:v>
      </x:c>
      <x:c r="B87" s="13" t="n">
        <x:v>45931</x:v>
      </x:c>
      <x:c r="C87" s="22" t="n">
        <x:v>33462</x:v>
      </x:c>
      <x:c r="D87" s="22" t="n">
        <x:v>29085</x:v>
      </x:c>
      <x:c r="E87" s="22" t="n">
        <x:v>28893</x:v>
      </x:c>
      <x:c r="F87" s="22" t="n">
        <x:v>29085</x:v>
      </x:c>
      <x:c r="G87" s="22" t="n">
        <x:f>ABS(C87-D87)</x:f>
        <x:v>4377</x:v>
      </x:c>
      <x:c r="H87" s="2" t="str">
        <x:v>validation</x:v>
      </x:c>
      <x:c r="I87" s="2" t="str">
        <x:v>Seasonal baseline</x:v>
      </x:c>
    </x:row>
    <x:row r="88" ht="22" customHeight="1">
      <x:c r="A88" s="2" t="str">
        <x:v>SYD-SEL</x:v>
      </x:c>
      <x:c r="B88" s="13" t="n">
        <x:v>45962</x:v>
      </x:c>
      <x:c r="C88" s="22" t="n">
        <x:v>37894</x:v>
      </x:c>
      <x:c r="D88" s="22" t="n">
        <x:v>31308</x:v>
      </x:c>
      <x:c r="E88" s="22" t="n">
        <x:v>31763</x:v>
      </x:c>
      <x:c r="F88" s="22" t="n">
        <x:v>31308</x:v>
      </x:c>
      <x:c r="G88" s="22" t="n">
        <x:f>ABS(C88-D88)</x:f>
        <x:v>6586</x:v>
      </x:c>
      <x:c r="H88" s="2" t="str">
        <x:v>validation</x:v>
      </x:c>
      <x:c r="I88" s="2" t="str">
        <x:v>Seasonal baseline</x:v>
      </x:c>
    </x:row>
    <x:row r="89" ht="22" customHeight="1">
      <x:c r="A89" s="2" t="str">
        <x:v>SYD-SEL</x:v>
      </x:c>
      <x:c r="B89" s="13" t="n">
        <x:v>45992</x:v>
      </x:c>
      <x:c r="C89" s="22" t="n">
        <x:v>41670</x:v>
      </x:c>
      <x:c r="D89" s="22" t="n">
        <x:v>41867</x:v>
      </x:c>
      <x:c r="E89" s="22" t="n">
        <x:v>44712</x:v>
      </x:c>
      <x:c r="F89" s="22" t="n">
        <x:v>41867</x:v>
      </x:c>
      <x:c r="G89" s="22" t="n">
        <x:f>ABS(C89-D89)</x:f>
        <x:v>197</x:v>
      </x:c>
      <x:c r="H89" s="2" t="str">
        <x:v>validation</x:v>
      </x:c>
      <x:c r="I89" s="2" t="str">
        <x:v>Seasonal baseline</x:v>
      </x:c>
    </x:row>
    <x:row r="90" ht="22" customHeight="1">
      <x:c r="A90" s="2" t="str">
        <x:v>SYD-SEL</x:v>
      </x:c>
      <x:c r="B90" s="13" t="n">
        <x:v>46023</x:v>
      </x:c>
      <x:c r="C90" s="22" t="n">
        <x:v>35700</x:v>
      </x:c>
      <x:c r="D90" s="22" t="n">
        <x:v>35603</x:v>
      </x:c>
      <x:c r="E90" s="22" t="n">
        <x:v>38195</x:v>
      </x:c>
      <x:c r="F90" s="22" t="n">
        <x:v>35603</x:v>
      </x:c>
      <x:c r="G90" s="22" t="n">
        <x:f>ABS(C90-D90)</x:f>
        <x:v>97</x:v>
      </x:c>
      <x:c r="H90" s="2" t="str">
        <x:v>holdout</x:v>
      </x:c>
      <x:c r="I90" s="2" t="str">
        <x:v>Seasonal baseline</x:v>
      </x:c>
    </x:row>
    <x:row r="91" ht="22" customHeight="1">
      <x:c r="A91" s="2" t="str">
        <x:v>SYD-SEL</x:v>
      </x:c>
      <x:c r="B91" s="13" t="n">
        <x:v>46054</x:v>
      </x:c>
      <x:c r="C91" s="22" t="n">
        <x:v>32779</x:v>
      </x:c>
      <x:c r="D91" s="22" t="n">
        <x:v>32205</x:v>
      </x:c>
      <x:c r="E91" s="22" t="n">
        <x:v>34484</x:v>
      </x:c>
      <x:c r="F91" s="22" t="n">
        <x:v>32205</x:v>
      </x:c>
      <x:c r="G91" s="22" t="n">
        <x:f>ABS(C91-D91)</x:f>
        <x:v>574</x:v>
      </x:c>
      <x:c r="H91" s="2" t="str">
        <x:v>holdout</x:v>
      </x:c>
      <x:c r="I91" s="2" t="str">
        <x:v>Seasonal baseline</x:v>
      </x:c>
    </x:row>
    <x:row r="92" ht="22" customHeight="1">
      <x:c r="A92" s="2" t="str">
        <x:v>SYD-SEL</x:v>
      </x:c>
      <x:c r="B92" s="13" t="n">
        <x:v>46082</x:v>
      </x:c>
      <x:c r="C92" s="22" t="n">
        <x:v>41520</x:v>
      </x:c>
      <x:c r="D92" s="22" t="n">
        <x:v>33249</x:v>
      </x:c>
      <x:c r="E92" s="22" t="n">
        <x:v>35575</x:v>
      </x:c>
      <x:c r="F92" s="22" t="n">
        <x:v>33249</x:v>
      </x:c>
      <x:c r="G92" s="22" t="n">
        <x:f>ABS(C92-D92)</x:f>
        <x:v>8271</x:v>
      </x:c>
      <x:c r="H92" s="2" t="str">
        <x:v>holdout</x:v>
      </x:c>
      <x:c r="I92" s="2" t="str">
        <x:v>Seasonal baseline</x:v>
      </x:c>
    </x:row>
    <x:row r="93" ht="22" customHeight="1">
      <x:c r="A93" s="2" t="str">
        <x:v>SYD-SEL</x:v>
      </x:c>
      <x:c r="B93" s="13" t="n">
        <x:v>46113</x:v>
      </x:c>
      <x:c r="C93" s="22" t="n">
        <x:v>28923</x:v>
      </x:c>
      <x:c r="D93" s="22" t="n">
        <x:v>29066</x:v>
      </x:c>
      <x:c r="E93" s="22" t="n">
        <x:v>32096</x:v>
      </x:c>
      <x:c r="F93" s="22" t="n">
        <x:v>29066</x:v>
      </x:c>
      <x:c r="G93" s="22" t="n">
        <x:f>ABS(C93-D93)</x:f>
        <x:v>143</x:v>
      </x:c>
      <x:c r="H93" s="2" t="str">
        <x:v>holdout</x:v>
      </x:c>
      <x:c r="I93" s="2" t="str">
        <x:v>Seasonal baseline</x:v>
      </x:c>
    </x:row>
    <x:row r="94" ht="22" customHeight="1">
      <x:c r="A94" s="2" t="str">
        <x:v>SYD-SEL</x:v>
      </x:c>
      <x:c r="B94" s="13" t="n">
        <x:v>46143</x:v>
      </x:c>
      <x:c r="C94" s="22" t="n">
        <x:v>30369</x:v>
      </x:c>
      <x:c r="D94" s="22" t="n">
        <x:v>25338</x:v>
      </x:c>
      <x:c r="E94" s="22" t="n">
        <x:v>27323</x:v>
      </x:c>
      <x:c r="F94" s="22" t="n">
        <x:v>25338</x:v>
      </x:c>
      <x:c r="G94" s="22" t="n">
        <x:f>ABS(C94-D94)</x:f>
        <x:v>5031</x:v>
      </x:c>
      <x:c r="H94" s="2" t="str">
        <x:v>holdout</x:v>
      </x:c>
      <x:c r="I94" s="2" t="str">
        <x:v>Seasonal baseline</x:v>
      </x:c>
    </x:row>
    <x:row r="95" ht="22" customHeight="1">
      <x:c r="A95" s="2" t="str">
        <x:v>SYD-SEL</x:v>
      </x:c>
      <x:c r="B95" s="13" t="n">
        <x:v>46174</x:v>
      </x:c>
      <x:c r="C95" s="22" t="n">
        <x:v>29347</x:v>
      </x:c>
      <x:c r="D95" s="22" t="n">
        <x:v>26939</x:v>
      </x:c>
      <x:c r="E95" s="22" t="n">
        <x:v>28996</x:v>
      </x:c>
      <x:c r="F95" s="22" t="n">
        <x:v>26939</x:v>
      </x:c>
      <x:c r="G95" s="22" t="n">
        <x:f>ABS(C95-D95)</x:f>
        <x:v>2408</x:v>
      </x:c>
      <x:c r="H95" s="2" t="str">
        <x:v>holdout</x:v>
      </x:c>
      <x:c r="I95" s="2" t="str">
        <x:v>Seasonal baseline</x:v>
      </x:c>
    </x:row>
    <x:row r="96" ht="22" customHeight="1">
      <x:c r="A96" s="2" t="str">
        <x:v>MEL-SIN</x:v>
      </x:c>
      <x:c r="B96" s="13" t="n">
        <x:v>45658</x:v>
      </x:c>
      <x:c r="C96" s="22" t="n">
        <x:v>79543</x:v>
      </x:c>
      <x:c r="D96" s="22" t="n">
        <x:v>75582</x:v>
      </x:c>
      <x:c r="E96" s="22" t="n">
        <x:v>84342</x:v>
      </x:c>
      <x:c r="F96" s="22" t="n">
        <x:v>75582</x:v>
      </x:c>
      <x:c r="G96" s="22" t="n">
        <x:f>ABS(C96-D96)</x:f>
        <x:v>3961</x:v>
      </x:c>
      <x:c r="H96" s="2" t="str">
        <x:v>validation</x:v>
      </x:c>
      <x:c r="I96" s="2" t="str">
        <x:v>Seasonal baseline</x:v>
      </x:c>
    </x:row>
    <x:row r="97" ht="22" customHeight="1">
      <x:c r="A97" s="2" t="str">
        <x:v>MEL-SIN</x:v>
      </x:c>
      <x:c r="B97" s="13" t="n">
        <x:v>45689</x:v>
      </x:c>
      <x:c r="C97" s="22" t="n">
        <x:v>58864</x:v>
      </x:c>
      <x:c r="D97" s="22" t="n">
        <x:v>63072</x:v>
      </x:c>
      <x:c r="E97" s="22" t="n">
        <x:v>70010</x:v>
      </x:c>
      <x:c r="F97" s="22" t="n">
        <x:v>63072</x:v>
      </x:c>
      <x:c r="G97" s="22" t="n">
        <x:f>ABS(C97-D97)</x:f>
        <x:v>4208</x:v>
      </x:c>
      <x:c r="H97" s="2" t="str">
        <x:v>validation</x:v>
      </x:c>
      <x:c r="I97" s="2" t="str">
        <x:v>Seasonal baseline</x:v>
      </x:c>
    </x:row>
    <x:row r="98" ht="22" customHeight="1">
      <x:c r="A98" s="2" t="str">
        <x:v>MEL-SIN</x:v>
      </x:c>
      <x:c r="B98" s="13" t="n">
        <x:v>45717</x:v>
      </x:c>
      <x:c r="C98" s="22" t="n">
        <x:v>65432</x:v>
      </x:c>
      <x:c r="D98" s="22" t="n">
        <x:v>73760</x:v>
      </x:c>
      <x:c r="E98" s="22" t="n">
        <x:v>79260</x:v>
      </x:c>
      <x:c r="F98" s="22" t="n">
        <x:v>73760</x:v>
      </x:c>
      <x:c r="G98" s="22" t="n">
        <x:f>ABS(C98-D98)</x:f>
        <x:v>8328</x:v>
      </x:c>
      <x:c r="H98" s="2" t="str">
        <x:v>validation</x:v>
      </x:c>
      <x:c r="I98" s="2" t="str">
        <x:v>Seasonal baseline</x:v>
      </x:c>
    </x:row>
    <x:row r="99" ht="22" customHeight="1">
      <x:c r="A99" s="2" t="str">
        <x:v>MEL-SIN</x:v>
      </x:c>
      <x:c r="B99" s="13" t="n">
        <x:v>45748</x:v>
      </x:c>
      <x:c r="C99" s="22" t="n">
        <x:v>73447</x:v>
      </x:c>
      <x:c r="D99" s="22" t="n">
        <x:v>65396</x:v>
      </x:c>
      <x:c r="E99" s="22" t="n">
        <x:v>66897</x:v>
      </x:c>
      <x:c r="F99" s="22" t="n">
        <x:v>65396</x:v>
      </x:c>
      <x:c r="G99" s="22" t="n">
        <x:f>ABS(C99-D99)</x:f>
        <x:v>8051</x:v>
      </x:c>
      <x:c r="H99" s="2" t="str">
        <x:v>validation</x:v>
      </x:c>
      <x:c r="I99" s="2" t="str">
        <x:v>Seasonal baseline</x:v>
      </x:c>
    </x:row>
    <x:row r="100" ht="22" customHeight="1">
      <x:c r="A100" s="2" t="str">
        <x:v>MEL-SIN</x:v>
      </x:c>
      <x:c r="B100" s="13" t="n">
        <x:v>45778</x:v>
      </x:c>
      <x:c r="C100" s="22" t="n">
        <x:v>71556</x:v>
      </x:c>
      <x:c r="D100" s="22" t="n">
        <x:v>67613</x:v>
      </x:c>
      <x:c r="E100" s="22" t="n">
        <x:v>69449</x:v>
      </x:c>
      <x:c r="F100" s="22" t="n">
        <x:v>67613</x:v>
      </x:c>
      <x:c r="G100" s="22" t="n">
        <x:f>ABS(C100-D100)</x:f>
        <x:v>3943</x:v>
      </x:c>
      <x:c r="H100" s="2" t="str">
        <x:v>validation</x:v>
      </x:c>
      <x:c r="I100" s="2" t="str">
        <x:v>Seasonal baseline</x:v>
      </x:c>
    </x:row>
    <x:row r="101" ht="22" customHeight="1">
      <x:c r="A101" s="2" t="str">
        <x:v>MEL-SIN</x:v>
      </x:c>
      <x:c r="B101" s="13" t="n">
        <x:v>45809</x:v>
      </x:c>
      <x:c r="C101" s="22" t="n">
        <x:v>74233</x:v>
      </x:c>
      <x:c r="D101" s="22" t="n">
        <x:v>81605</x:v>
      </x:c>
      <x:c r="E101" s="22" t="n">
        <x:v>83399</x:v>
      </x:c>
      <x:c r="F101" s="22" t="n">
        <x:v>81605</x:v>
      </x:c>
      <x:c r="G101" s="22" t="n">
        <x:f>ABS(C101-D101)</x:f>
        <x:v>7372</x:v>
      </x:c>
      <x:c r="H101" s="2" t="str">
        <x:v>validation</x:v>
      </x:c>
      <x:c r="I101" s="2" t="str">
        <x:v>Seasonal baseline</x:v>
      </x:c>
    </x:row>
    <x:row r="102" ht="22" customHeight="1">
      <x:c r="A102" s="2" t="str">
        <x:v>MEL-SIN</x:v>
      </x:c>
      <x:c r="B102" s="13" t="n">
        <x:v>45839</x:v>
      </x:c>
      <x:c r="C102" s="22" t="n">
        <x:v>71795</x:v>
      </x:c>
      <x:c r="D102" s="22" t="n">
        <x:v>70806</x:v>
      </x:c>
      <x:c r="E102" s="22" t="n">
        <x:v>70380</x:v>
      </x:c>
      <x:c r="F102" s="22" t="n">
        <x:v>70806</x:v>
      </x:c>
      <x:c r="G102" s="22" t="n">
        <x:f>ABS(C102-D102)</x:f>
        <x:v>989</x:v>
      </x:c>
      <x:c r="H102" s="2" t="str">
        <x:v>validation</x:v>
      </x:c>
      <x:c r="I102" s="2" t="str">
        <x:v>Seasonal baseline</x:v>
      </x:c>
    </x:row>
    <x:row r="103" ht="22" customHeight="1">
      <x:c r="A103" s="2" t="str">
        <x:v>MEL-SIN</x:v>
      </x:c>
      <x:c r="B103" s="13" t="n">
        <x:v>45870</x:v>
      </x:c>
      <x:c r="C103" s="22" t="n">
        <x:v>70683</x:v>
      </x:c>
      <x:c r="D103" s="22" t="n">
        <x:v>73210</x:v>
      </x:c>
      <x:c r="E103" s="22" t="n">
        <x:v>72300</x:v>
      </x:c>
      <x:c r="F103" s="22" t="n">
        <x:v>73210</x:v>
      </x:c>
      <x:c r="G103" s="22" t="n">
        <x:f>ABS(C103-D103)</x:f>
        <x:v>2527</x:v>
      </x:c>
      <x:c r="H103" s="2" t="str">
        <x:v>validation</x:v>
      </x:c>
      <x:c r="I103" s="2" t="str">
        <x:v>Seasonal baseline</x:v>
      </x:c>
    </x:row>
    <x:row r="104" ht="22" customHeight="1">
      <x:c r="A104" s="2" t="str">
        <x:v>MEL-SIN</x:v>
      </x:c>
      <x:c r="B104" s="13" t="n">
        <x:v>45901</x:v>
      </x:c>
      <x:c r="C104" s="22" t="n">
        <x:v>73626</x:v>
      </x:c>
      <x:c r="D104" s="22" t="n">
        <x:v>78000</x:v>
      </x:c>
      <x:c r="E104" s="22" t="n">
        <x:v>77449</x:v>
      </x:c>
      <x:c r="F104" s="22" t="n">
        <x:v>78000</x:v>
      </x:c>
      <x:c r="G104" s="22" t="n">
        <x:f>ABS(C104-D104)</x:f>
        <x:v>4374</x:v>
      </x:c>
      <x:c r="H104" s="2" t="str">
        <x:v>validation</x:v>
      </x:c>
      <x:c r="I104" s="2" t="str">
        <x:v>Seasonal baseline</x:v>
      </x:c>
    </x:row>
    <x:row r="105" ht="22" customHeight="1">
      <x:c r="A105" s="2" t="str">
        <x:v>MEL-SIN</x:v>
      </x:c>
      <x:c r="B105" s="13" t="n">
        <x:v>45931</x:v>
      </x:c>
      <x:c r="C105" s="22" t="n">
        <x:v>66850</x:v>
      </x:c>
      <x:c r="D105" s="22" t="n">
        <x:v>66321</x:v>
      </x:c>
      <x:c r="E105" s="22" t="n">
        <x:v>66481</x:v>
      </x:c>
      <x:c r="F105" s="22" t="n">
        <x:v>66321</x:v>
      </x:c>
      <x:c r="G105" s="22" t="n">
        <x:f>ABS(C105-D105)</x:f>
        <x:v>529</x:v>
      </x:c>
      <x:c r="H105" s="2" t="str">
        <x:v>validation</x:v>
      </x:c>
      <x:c r="I105" s="2" t="str">
        <x:v>Seasonal baseline</x:v>
      </x:c>
    </x:row>
    <x:row r="106" ht="22" customHeight="1">
      <x:c r="A106" s="2" t="str">
        <x:v>MEL-SIN</x:v>
      </x:c>
      <x:c r="B106" s="13" t="n">
        <x:v>45962</x:v>
      </x:c>
      <x:c r="C106" s="22" t="n">
        <x:v>71878</x:v>
      </x:c>
      <x:c r="D106" s="22" t="n">
        <x:v>76134</x:v>
      </x:c>
      <x:c r="E106" s="22" t="n">
        <x:v>74857</x:v>
      </x:c>
      <x:c r="F106" s="22" t="n">
        <x:v>76134</x:v>
      </x:c>
      <x:c r="G106" s="22" t="n">
        <x:f>ABS(C106-D106)</x:f>
        <x:v>4256</x:v>
      </x:c>
      <x:c r="H106" s="2" t="str">
        <x:v>validation</x:v>
      </x:c>
      <x:c r="I106" s="2" t="str">
        <x:v>Seasonal baseline</x:v>
      </x:c>
    </x:row>
    <x:row r="107" ht="22" customHeight="1">
      <x:c r="A107" s="2" t="str">
        <x:v>MEL-SIN</x:v>
      </x:c>
      <x:c r="B107" s="13" t="n">
        <x:v>45992</x:v>
      </x:c>
      <x:c r="C107" s="22" t="n">
        <x:v>83895</x:v>
      </x:c>
      <x:c r="D107" s="22" t="n">
        <x:v>91078</x:v>
      </x:c>
      <x:c r="E107" s="22" t="n">
        <x:v>87816</x:v>
      </x:c>
      <x:c r="F107" s="22" t="n">
        <x:v>91078</x:v>
      </x:c>
      <x:c r="G107" s="22" t="n">
        <x:f>ABS(C107-D107)</x:f>
        <x:v>7183</x:v>
      </x:c>
      <x:c r="H107" s="2" t="str">
        <x:v>validation</x:v>
      </x:c>
      <x:c r="I107" s="2" t="str">
        <x:v>Seasonal baseline</x:v>
      </x:c>
    </x:row>
    <x:row r="108" ht="22" customHeight="1">
      <x:c r="A108" s="2" t="str">
        <x:v>MEL-SIN</x:v>
      </x:c>
      <x:c r="B108" s="13" t="n">
        <x:v>46023</x:v>
      </x:c>
      <x:c r="C108" s="22" t="n">
        <x:v>75537</x:v>
      </x:c>
      <x:c r="D108" s="22" t="n">
        <x:v>79543</x:v>
      </x:c>
      <x:c r="E108" s="22" t="n">
        <x:v>76846</x:v>
      </x:c>
      <x:c r="F108" s="22" t="n">
        <x:v>79543</x:v>
      </x:c>
      <x:c r="G108" s="22" t="n">
        <x:f>ABS(C108-D108)</x:f>
        <x:v>4006</x:v>
      </x:c>
      <x:c r="H108" s="2" t="str">
        <x:v>holdout</x:v>
      </x:c>
      <x:c r="I108" s="2" t="str">
        <x:v>Seasonal baseline</x:v>
      </x:c>
    </x:row>
    <x:row r="109" ht="22" customHeight="1">
      <x:c r="A109" s="2" t="str">
        <x:v>MEL-SIN</x:v>
      </x:c>
      <x:c r="B109" s="13" t="n">
        <x:v>46054</x:v>
      </x:c>
      <x:c r="C109" s="22" t="n">
        <x:v>58911</x:v>
      </x:c>
      <x:c r="D109" s="22" t="n">
        <x:v>58864</x:v>
      </x:c>
      <x:c r="E109" s="22" t="n">
        <x:v>56237</x:v>
      </x:c>
      <x:c r="F109" s="22" t="n">
        <x:v>58864</x:v>
      </x:c>
      <x:c r="G109" s="22" t="n">
        <x:f>ABS(C109-D109)</x:f>
        <x:v>47</x:v>
      </x:c>
      <x:c r="H109" s="2" t="str">
        <x:v>holdout</x:v>
      </x:c>
      <x:c r="I109" s="2" t="str">
        <x:v>Seasonal baseline</x:v>
      </x:c>
    </x:row>
    <x:row r="110" ht="22" customHeight="1">
      <x:c r="A110" s="2" t="str">
        <x:v>MEL-SIN</x:v>
      </x:c>
      <x:c r="B110" s="13" t="n">
        <x:v>46082</x:v>
      </x:c>
      <x:c r="C110" s="22" t="n">
        <x:v>71891</x:v>
      </x:c>
      <x:c r="D110" s="22" t="n">
        <x:v>65432</x:v>
      </x:c>
      <x:c r="E110" s="22" t="n">
        <x:v>62897</x:v>
      </x:c>
      <x:c r="F110" s="22" t="n">
        <x:v>65432</x:v>
      </x:c>
      <x:c r="G110" s="22" t="n">
        <x:f>ABS(C110-D110)</x:f>
        <x:v>6459</x:v>
      </x:c>
      <x:c r="H110" s="2" t="str">
        <x:v>holdout</x:v>
      </x:c>
      <x:c r="I110" s="2" t="str">
        <x:v>Seasonal baseline</x:v>
      </x:c>
    </x:row>
    <x:row r="111" ht="22" customHeight="1">
      <x:c r="A111" s="2" t="str">
        <x:v>MEL-SIN</x:v>
      </x:c>
      <x:c r="B111" s="13" t="n">
        <x:v>46113</x:v>
      </x:c>
      <x:c r="C111" s="22" t="n">
        <x:v>70831</x:v>
      </x:c>
      <x:c r="D111" s="22" t="n">
        <x:v>73447</x:v>
      </x:c>
      <x:c r="E111" s="22" t="n">
        <x:v>72497</x:v>
      </x:c>
      <x:c r="F111" s="22" t="n">
        <x:v>73447</x:v>
      </x:c>
      <x:c r="G111" s="22" t="n">
        <x:f>ABS(C111-D111)</x:f>
        <x:v>2616</x:v>
      </x:c>
      <x:c r="H111" s="2" t="str">
        <x:v>holdout</x:v>
      </x:c>
      <x:c r="I111" s="2" t="str">
        <x:v>Seasonal baseline</x:v>
      </x:c>
    </x:row>
    <x:row r="112" ht="22" customHeight="1">
      <x:c r="A112" s="2" t="str">
        <x:v>MEL-SIN</x:v>
      </x:c>
      <x:c r="B112" s="13" t="n">
        <x:v>46143</x:v>
      </x:c>
      <x:c r="C112" s="22" t="n">
        <x:v>71004</x:v>
      </x:c>
      <x:c r="D112" s="22" t="n">
        <x:v>71556</x:v>
      </x:c>
      <x:c r="E112" s="22" t="n">
        <x:v>70110</x:v>
      </x:c>
      <x:c r="F112" s="22" t="n">
        <x:v>71556</x:v>
      </x:c>
      <x:c r="G112" s="22" t="n">
        <x:f>ABS(C112-D112)</x:f>
        <x:v>552</x:v>
      </x:c>
      <x:c r="H112" s="2" t="str">
        <x:v>holdout</x:v>
      </x:c>
      <x:c r="I112" s="2" t="str">
        <x:v>Seasonal baseline</x:v>
      </x:c>
    </x:row>
    <x:row r="113" ht="22" customHeight="1">
      <x:c r="A113" s="2" t="str">
        <x:v>MEL-SIN</x:v>
      </x:c>
      <x:c r="B113" s="13" t="n">
        <x:v>46174</x:v>
      </x:c>
      <x:c r="C113" s="22" t="n">
        <x:v>81149</x:v>
      </x:c>
      <x:c r="D113" s="22" t="n">
        <x:v>74233</x:v>
      </x:c>
      <x:c r="E113" s="22" t="n">
        <x:v>73329</x:v>
      </x:c>
      <x:c r="F113" s="22" t="n">
        <x:v>74233</x:v>
      </x:c>
      <x:c r="G113" s="22" t="n">
        <x:f>ABS(C113-D113)</x:f>
        <x:v>6916</x:v>
      </x:c>
      <x:c r="H113" s="2" t="str">
        <x:v>holdout</x:v>
      </x:c>
      <x:c r="I113" s="2" t="str">
        <x:v>Seasonal baseline</x:v>
      </x:c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</x:row>
  </x:sheetData>
  <x:pageMargins left="0.7" right="0.7" top="0.75" bottom="0.75" header="0.3" footer="0.3"/>
  <x:tableParts count="1">
    <x:tablePart xmlns:r="http://schemas.openxmlformats.org/officeDocument/2006/relationships" r:id="R476e6ee3a23c438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Accepted passenger booking records</x:v>
      </x:c>
      <x:c r="B2" s="4"/>
      <x:c r="C2" s="4"/>
      <x:c r="D2" s="4"/>
      <x:c r="E2" s="4"/>
      <x:c r="F2" s="4"/>
      <x:c r="G2" s="4"/>
    </x:row>
    <x:row r="3" ht="22" customHeight="1">
      <x:c r="A3" s="2" t="str">
        <x:v>Simulated passenger-level feed, accepted after ID, contract and snapshot-date validation.</x:v>
      </x:c>
      <x:c r="B3" s="2"/>
      <x:c r="C3" s="2"/>
      <x:c r="D3" s="2"/>
      <x:c r="E3" s="2"/>
      <x:c r="F3" s="2"/>
      <x:c r="G3" s="2"/>
    </x:row>
    <x:row r="4" ht="22" customHeight="1">
      <x:c r="A4" s="2"/>
      <x:c r="B4" s="2"/>
      <x:c r="C4" s="2"/>
      <x:c r="D4" s="2"/>
      <x:c r="E4" s="2"/>
      <x:c r="F4" s="2"/>
      <x:c r="G4" s="2"/>
    </x:row>
    <x:row r="5" ht="30" customHeight="1">
      <x:c r="A5" s="21" t="str">
        <x:v>Booking ID</x:v>
      </x:c>
      <x:c r="B5" s="21" t="str">
        <x:v>Contract ID</x:v>
      </x:c>
      <x:c r="C5" s="21" t="str">
        <x:v>Booking date</x:v>
      </x:c>
      <x:c r="D5" s="21" t="str">
        <x:v>Passengers</x:v>
      </x:c>
      <x:c r="E5" s="21" t="str">
        <x:v>Channel</x:v>
      </x:c>
      <x:c r="F5" s="21" t="str">
        <x:v>Air revenue AUD</x:v>
      </x:c>
      <x:c r="G5" s="21" t="str">
        <x:v>Provenance</x:v>
      </x:c>
    </x:row>
    <x:row r="6" ht="22" customHeight="1">
      <x:c r="A6" s="2" t="str">
        <x:v>BK-TC-01001-001</x:v>
      </x:c>
      <x:c r="B6" s="2" t="str">
        <x:v>TC-01001</x:v>
      </x:c>
      <x:c r="C6" s="12" t="n">
        <x:v>46119</x:v>
      </x:c>
      <x:c r="D6" s="2" t="n">
        <x:v>1</x:v>
      </x:c>
      <x:c r="E6" s="2" t="str">
        <x:v>Retail</x:v>
      </x:c>
      <x:c r="F6" s="14" t="n">
        <x:v>990</x:v>
      </x:c>
      <x:c r="G6" s="2" t="str">
        <x:v>Simulated</x:v>
      </x:c>
    </x:row>
    <x:row r="7" ht="22" customHeight="1">
      <x:c r="A7" s="2" t="str">
        <x:v>BK-TC-01001-002</x:v>
      </x:c>
      <x:c r="B7" s="2" t="str">
        <x:v>TC-01001</x:v>
      </x:c>
      <x:c r="C7" s="12" t="n">
        <x:v>46294</x:v>
      </x:c>
      <x:c r="D7" s="2" t="n">
        <x:v>1</x:v>
      </x:c>
      <x:c r="E7" s="2" t="str">
        <x:v>Trade</x:v>
      </x:c>
      <x:c r="F7" s="14" t="n">
        <x:v>990</x:v>
      </x:c>
      <x:c r="G7" s="2" t="str">
        <x:v>Simulated</x:v>
      </x:c>
    </x:row>
    <x:row r="8" ht="22" customHeight="1">
      <x:c r="A8" s="2" t="str">
        <x:v>BK-TC-01001-003</x:v>
      </x:c>
      <x:c r="B8" s="2" t="str">
        <x:v>TC-01001</x:v>
      </x:c>
      <x:c r="C8" s="12" t="n">
        <x:v>46205</x:v>
      </x:c>
      <x:c r="D8" s="2" t="n">
        <x:v>1</x:v>
      </x:c>
      <x:c r="E8" s="2" t="str">
        <x:v>Online</x:v>
      </x:c>
      <x:c r="F8" s="14" t="n">
        <x:v>990</x:v>
      </x:c>
      <x:c r="G8" s="2" t="str">
        <x:v>Simulated</x:v>
      </x:c>
    </x:row>
    <x:row r="9" ht="22" customHeight="1">
      <x:c r="A9" s="2" t="str">
        <x:v>BK-TC-01001-004</x:v>
      </x:c>
      <x:c r="B9" s="2" t="str">
        <x:v>TC-01001</x:v>
      </x:c>
      <x:c r="C9" s="12" t="n">
        <x:v>46135</x:v>
      </x:c>
      <x:c r="D9" s="2" t="n">
        <x:v>1</x:v>
      </x:c>
      <x:c r="E9" s="2" t="str">
        <x:v>Retail</x:v>
      </x:c>
      <x:c r="F9" s="14" t="n">
        <x:v>990</x:v>
      </x:c>
      <x:c r="G9" s="2" t="str">
        <x:v>Simulated</x:v>
      </x:c>
    </x:row>
    <x:row r="10" ht="22" customHeight="1">
      <x:c r="A10" s="2" t="str">
        <x:v>BK-TC-01001-005</x:v>
      </x:c>
      <x:c r="B10" s="2" t="str">
        <x:v>TC-01001</x:v>
      </x:c>
      <x:c r="C10" s="12" t="n">
        <x:v>46215</x:v>
      </x:c>
      <x:c r="D10" s="2" t="n">
        <x:v>1</x:v>
      </x:c>
      <x:c r="E10" s="2" t="str">
        <x:v>Retail</x:v>
      </x:c>
      <x:c r="F10" s="14" t="n">
        <x:v>990</x:v>
      </x:c>
      <x:c r="G10" s="2" t="str">
        <x:v>Simulated</x:v>
      </x:c>
    </x:row>
    <x:row r="11" ht="22" customHeight="1">
      <x:c r="A11" s="2" t="str">
        <x:v>BK-TC-01001-006</x:v>
      </x:c>
      <x:c r="B11" s="2" t="str">
        <x:v>TC-01001</x:v>
      </x:c>
      <x:c r="C11" s="12" t="n">
        <x:v>46137</x:v>
      </x:c>
      <x:c r="D11" s="2" t="n">
        <x:v>1</x:v>
      </x:c>
      <x:c r="E11" s="2" t="str">
        <x:v>Online</x:v>
      </x:c>
      <x:c r="F11" s="14" t="n">
        <x:v>990</x:v>
      </x:c>
      <x:c r="G11" s="2" t="str">
        <x:v>Simulated</x:v>
      </x:c>
    </x:row>
    <x:row r="12" ht="22" customHeight="1">
      <x:c r="A12" s="2" t="str">
        <x:v>BK-TC-01001-007</x:v>
      </x:c>
      <x:c r="B12" s="2" t="str">
        <x:v>TC-01001</x:v>
      </x:c>
      <x:c r="C12" s="12" t="n">
        <x:v>46304</x:v>
      </x:c>
      <x:c r="D12" s="2" t="n">
        <x:v>1</x:v>
      </x:c>
      <x:c r="E12" s="2" t="str">
        <x:v>Online</x:v>
      </x:c>
      <x:c r="F12" s="14" t="n">
        <x:v>990</x:v>
      </x:c>
      <x:c r="G12" s="2" t="str">
        <x:v>Simulated</x:v>
      </x:c>
    </x:row>
    <x:row r="13" ht="22" customHeight="1">
      <x:c r="A13" s="2" t="str">
        <x:v>BK-TC-01001-008</x:v>
      </x:c>
      <x:c r="B13" s="2" t="str">
        <x:v>TC-01001</x:v>
      </x:c>
      <x:c r="C13" s="12" t="n">
        <x:v>46284</x:v>
      </x:c>
      <x:c r="D13" s="2" t="n">
        <x:v>1</x:v>
      </x:c>
      <x:c r="E13" s="2" t="str">
        <x:v>Retail</x:v>
      </x:c>
      <x:c r="F13" s="14" t="n">
        <x:v>990</x:v>
      </x:c>
      <x:c r="G13" s="2" t="str">
        <x:v>Simulated</x:v>
      </x:c>
    </x:row>
    <x:row r="14" ht="22" customHeight="1">
      <x:c r="A14" s="2" t="str">
        <x:v>BK-TC-01001-009</x:v>
      </x:c>
      <x:c r="B14" s="2" t="str">
        <x:v>TC-01001</x:v>
      </x:c>
      <x:c r="C14" s="12" t="n">
        <x:v>46223</x:v>
      </x:c>
      <x:c r="D14" s="2" t="n">
        <x:v>1</x:v>
      </x:c>
      <x:c r="E14" s="2" t="str">
        <x:v>Online</x:v>
      </x:c>
      <x:c r="F14" s="14" t="n">
        <x:v>990</x:v>
      </x:c>
      <x:c r="G14" s="2" t="str">
        <x:v>Simulated</x:v>
      </x:c>
    </x:row>
    <x:row r="15" ht="22" customHeight="1">
      <x:c r="A15" s="2" t="str">
        <x:v>BK-TC-01001-010</x:v>
      </x:c>
      <x:c r="B15" s="2" t="str">
        <x:v>TC-01001</x:v>
      </x:c>
      <x:c r="C15" s="12" t="n">
        <x:v>46303</x:v>
      </x:c>
      <x:c r="D15" s="2" t="n">
        <x:v>1</x:v>
      </x:c>
      <x:c r="E15" s="2" t="str">
        <x:v>Online</x:v>
      </x:c>
      <x:c r="F15" s="14" t="n">
        <x:v>990</x:v>
      </x:c>
      <x:c r="G15" s="2" t="str">
        <x:v>Simulated</x:v>
      </x:c>
    </x:row>
    <x:row r="16" ht="22" customHeight="1">
      <x:c r="A16" s="2" t="str">
        <x:v>BK-TC-01001-011</x:v>
      </x:c>
      <x:c r="B16" s="2" t="str">
        <x:v>TC-01001</x:v>
      </x:c>
      <x:c r="C16" s="12" t="n">
        <x:v>46284</x:v>
      </x:c>
      <x:c r="D16" s="2" t="n">
        <x:v>1</x:v>
      </x:c>
      <x:c r="E16" s="2" t="str">
        <x:v>Online</x:v>
      </x:c>
      <x:c r="F16" s="14" t="n">
        <x:v>990</x:v>
      </x:c>
      <x:c r="G16" s="2" t="str">
        <x:v>Simulated</x:v>
      </x:c>
    </x:row>
    <x:row r="17" ht="22" customHeight="1">
      <x:c r="A17" s="2" t="str">
        <x:v>BK-TC-01001-012</x:v>
      </x:c>
      <x:c r="B17" s="2" t="str">
        <x:v>TC-01001</x:v>
      </x:c>
      <x:c r="C17" s="12" t="n">
        <x:v>46239</x:v>
      </x:c>
      <x:c r="D17" s="2" t="n">
        <x:v>1</x:v>
      </x:c>
      <x:c r="E17" s="2" t="str">
        <x:v>Retail</x:v>
      </x:c>
      <x:c r="F17" s="14" t="n">
        <x:v>990</x:v>
      </x:c>
      <x:c r="G17" s="2" t="str">
        <x:v>Simulated</x:v>
      </x:c>
    </x:row>
    <x:row r="18" ht="22" customHeight="1">
      <x:c r="A18" s="2" t="str">
        <x:v>BK-TC-01001-013</x:v>
      </x:c>
      <x:c r="B18" s="2" t="str">
        <x:v>TC-01001</x:v>
      </x:c>
      <x:c r="C18" s="12" t="n">
        <x:v>46219</x:v>
      </x:c>
      <x:c r="D18" s="2" t="n">
        <x:v>1</x:v>
      </x:c>
      <x:c r="E18" s="2" t="str">
        <x:v>Online</x:v>
      </x:c>
      <x:c r="F18" s="14" t="n">
        <x:v>990</x:v>
      </x:c>
      <x:c r="G18" s="2" t="str">
        <x:v>Simulated</x:v>
      </x:c>
    </x:row>
    <x:row r="19" ht="22" customHeight="1">
      <x:c r="A19" s="2" t="str">
        <x:v>BK-TC-01001-014</x:v>
      </x:c>
      <x:c r="B19" s="2" t="str">
        <x:v>TC-01001</x:v>
      </x:c>
      <x:c r="C19" s="12" t="n">
        <x:v>46277</x:v>
      </x:c>
      <x:c r="D19" s="2" t="n">
        <x:v>1</x:v>
      </x:c>
      <x:c r="E19" s="2" t="str">
        <x:v>Online</x:v>
      </x:c>
      <x:c r="F19" s="14" t="n">
        <x:v>990</x:v>
      </x:c>
      <x:c r="G19" s="2" t="str">
        <x:v>Simulated</x:v>
      </x:c>
    </x:row>
    <x:row r="20" ht="22" customHeight="1">
      <x:c r="A20" s="2" t="str">
        <x:v>BK-TC-01001-015</x:v>
      </x:c>
      <x:c r="B20" s="2" t="str">
        <x:v>TC-01001</x:v>
      </x:c>
      <x:c r="C20" s="12" t="n">
        <x:v>46178</x:v>
      </x:c>
      <x:c r="D20" s="2" t="n">
        <x:v>1</x:v>
      </x:c>
      <x:c r="E20" s="2" t="str">
        <x:v>Retail</x:v>
      </x:c>
      <x:c r="F20" s="14" t="n">
        <x:v>990</x:v>
      </x:c>
      <x:c r="G20" s="2" t="str">
        <x:v>Simulated</x:v>
      </x:c>
    </x:row>
    <x:row r="21" ht="22" customHeight="1">
      <x:c r="A21" s="2" t="str">
        <x:v>BK-TC-01001-016</x:v>
      </x:c>
      <x:c r="B21" s="2" t="str">
        <x:v>TC-01001</x:v>
      </x:c>
      <x:c r="C21" s="12" t="n">
        <x:v>46149</x:v>
      </x:c>
      <x:c r="D21" s="2" t="n">
        <x:v>1</x:v>
      </x:c>
      <x:c r="E21" s="2" t="str">
        <x:v>Trade</x:v>
      </x:c>
      <x:c r="F21" s="14" t="n">
        <x:v>990</x:v>
      </x:c>
      <x:c r="G21" s="2" t="str">
        <x:v>Simulated</x:v>
      </x:c>
    </x:row>
    <x:row r="22" ht="22" customHeight="1">
      <x:c r="A22" s="2" t="str">
        <x:v>BK-TC-01001-017</x:v>
      </x:c>
      <x:c r="B22" s="2" t="str">
        <x:v>TC-01001</x:v>
      </x:c>
      <x:c r="C22" s="12" t="n">
        <x:v>46200</x:v>
      </x:c>
      <x:c r="D22" s="2" t="n">
        <x:v>1</x:v>
      </x:c>
      <x:c r="E22" s="2" t="str">
        <x:v>Trade</x:v>
      </x:c>
      <x:c r="F22" s="14" t="n">
        <x:v>990</x:v>
      </x:c>
      <x:c r="G22" s="2" t="str">
        <x:v>Simulated</x:v>
      </x:c>
    </x:row>
    <x:row r="23" ht="22" customHeight="1">
      <x:c r="A23" s="2" t="str">
        <x:v>BK-TC-01001-018</x:v>
      </x:c>
      <x:c r="B23" s="2" t="str">
        <x:v>TC-01001</x:v>
      </x:c>
      <x:c r="C23" s="12" t="n">
        <x:v>46276</x:v>
      </x:c>
      <x:c r="D23" s="2" t="n">
        <x:v>1</x:v>
      </x:c>
      <x:c r="E23" s="2" t="str">
        <x:v>Trade</x:v>
      </x:c>
      <x:c r="F23" s="14" t="n">
        <x:v>990</x:v>
      </x:c>
      <x:c r="G23" s="2" t="str">
        <x:v>Simulated</x:v>
      </x:c>
    </x:row>
    <x:row r="24" ht="22" customHeight="1">
      <x:c r="A24" s="2" t="str">
        <x:v>BK-TC-01001-019</x:v>
      </x:c>
      <x:c r="B24" s="2" t="str">
        <x:v>TC-01001</x:v>
      </x:c>
      <x:c r="C24" s="12" t="n">
        <x:v>46194</x:v>
      </x:c>
      <x:c r="D24" s="2" t="n">
        <x:v>1</x:v>
      </x:c>
      <x:c r="E24" s="2" t="str">
        <x:v>Online</x:v>
      </x:c>
      <x:c r="F24" s="14" t="n">
        <x:v>990</x:v>
      </x:c>
      <x:c r="G24" s="2" t="str">
        <x:v>Simulated</x:v>
      </x:c>
    </x:row>
    <x:row r="25" ht="22" customHeight="1">
      <x:c r="A25" s="2" t="str">
        <x:v>BK-TC-01001-020</x:v>
      </x:c>
      <x:c r="B25" s="2" t="str">
        <x:v>TC-01001</x:v>
      </x:c>
      <x:c r="C25" s="12" t="n">
        <x:v>46121</x:v>
      </x:c>
      <x:c r="D25" s="2" t="n">
        <x:v>1</x:v>
      </x:c>
      <x:c r="E25" s="2" t="str">
        <x:v>Online</x:v>
      </x:c>
      <x:c r="F25" s="14" t="n">
        <x:v>990</x:v>
      </x:c>
      <x:c r="G25" s="2" t="str">
        <x:v>Simulated</x:v>
      </x:c>
    </x:row>
    <x:row r="26" ht="22" customHeight="1">
      <x:c r="A26" s="2" t="str">
        <x:v>BK-TC-01001-021</x:v>
      </x:c>
      <x:c r="B26" s="2" t="str">
        <x:v>TC-01001</x:v>
      </x:c>
      <x:c r="C26" s="12" t="n">
        <x:v>46267</x:v>
      </x:c>
      <x:c r="D26" s="2" t="n">
        <x:v>1</x:v>
      </x:c>
      <x:c r="E26" s="2" t="str">
        <x:v>Retail</x:v>
      </x:c>
      <x:c r="F26" s="14" t="n">
        <x:v>990</x:v>
      </x:c>
      <x:c r="G26" s="2" t="str">
        <x:v>Simulated</x:v>
      </x:c>
    </x:row>
    <x:row r="27" ht="22" customHeight="1">
      <x:c r="A27" s="2" t="str">
        <x:v>BK-TC-01001-022</x:v>
      </x:c>
      <x:c r="B27" s="2" t="str">
        <x:v>TC-01001</x:v>
      </x:c>
      <x:c r="C27" s="12" t="n">
        <x:v>46198</x:v>
      </x:c>
      <x:c r="D27" s="2" t="n">
        <x:v>1</x:v>
      </x:c>
      <x:c r="E27" s="2" t="str">
        <x:v>Trade</x:v>
      </x:c>
      <x:c r="F27" s="14" t="n">
        <x:v>990</x:v>
      </x:c>
      <x:c r="G27" s="2" t="str">
        <x:v>Simulated</x:v>
      </x:c>
    </x:row>
    <x:row r="28" ht="22" customHeight="1">
      <x:c r="A28" s="2" t="str">
        <x:v>BK-TC-01001-023</x:v>
      </x:c>
      <x:c r="B28" s="2" t="str">
        <x:v>TC-01001</x:v>
      </x:c>
      <x:c r="C28" s="12" t="n">
        <x:v>46170</x:v>
      </x:c>
      <x:c r="D28" s="2" t="n">
        <x:v>1</x:v>
      </x:c>
      <x:c r="E28" s="2" t="str">
        <x:v>Online</x:v>
      </x:c>
      <x:c r="F28" s="14" t="n">
        <x:v>990</x:v>
      </x:c>
      <x:c r="G28" s="2" t="str">
        <x:v>Simulated</x:v>
      </x:c>
    </x:row>
    <x:row r="29" ht="22" customHeight="1">
      <x:c r="A29" s="2" t="str">
        <x:v>BK-TC-01001-024</x:v>
      </x:c>
      <x:c r="B29" s="2" t="str">
        <x:v>TC-01001</x:v>
      </x:c>
      <x:c r="C29" s="12" t="n">
        <x:v>46150</x:v>
      </x:c>
      <x:c r="D29" s="2" t="n">
        <x:v>1</x:v>
      </x:c>
      <x:c r="E29" s="2" t="str">
        <x:v>Online</x:v>
      </x:c>
      <x:c r="F29" s="14" t="n">
        <x:v>990</x:v>
      </x:c>
      <x:c r="G29" s="2" t="str">
        <x:v>Simulated</x:v>
      </x:c>
    </x:row>
    <x:row r="30" ht="22" customHeight="1">
      <x:c r="A30" s="2" t="str">
        <x:v>BK-TC-01001-025</x:v>
      </x:c>
      <x:c r="B30" s="2" t="str">
        <x:v>TC-01001</x:v>
      </x:c>
      <x:c r="C30" s="12" t="n">
        <x:v>46137</x:v>
      </x:c>
      <x:c r="D30" s="2" t="n">
        <x:v>1</x:v>
      </x:c>
      <x:c r="E30" s="2" t="str">
        <x:v>Online</x:v>
      </x:c>
      <x:c r="F30" s="14" t="n">
        <x:v>990</x:v>
      </x:c>
      <x:c r="G30" s="2" t="str">
        <x:v>Simulated</x:v>
      </x:c>
    </x:row>
    <x:row r="31" ht="22" customHeight="1">
      <x:c r="A31" s="2" t="str">
        <x:v>BK-TC-01002-001</x:v>
      </x:c>
      <x:c r="B31" s="2" t="str">
        <x:v>TC-01002</x:v>
      </x:c>
      <x:c r="C31" s="12" t="n">
        <x:v>46264</x:v>
      </x:c>
      <x:c r="D31" s="2" t="n">
        <x:v>1</x:v>
      </x:c>
      <x:c r="E31" s="2" t="str">
        <x:v>Online</x:v>
      </x:c>
      <x:c r="F31" s="14" t="n">
        <x:v>990</x:v>
      </x:c>
      <x:c r="G31" s="2" t="str">
        <x:v>Simulated</x:v>
      </x:c>
    </x:row>
    <x:row r="32" ht="22" customHeight="1">
      <x:c r="A32" s="2" t="str">
        <x:v>BK-TC-01002-002</x:v>
      </x:c>
      <x:c r="B32" s="2" t="str">
        <x:v>TC-01002</x:v>
      </x:c>
      <x:c r="C32" s="12" t="n">
        <x:v>46255</x:v>
      </x:c>
      <x:c r="D32" s="2" t="n">
        <x:v>1</x:v>
      </x:c>
      <x:c r="E32" s="2" t="str">
        <x:v>Retail</x:v>
      </x:c>
      <x:c r="F32" s="14" t="n">
        <x:v>990</x:v>
      </x:c>
      <x:c r="G32" s="2" t="str">
        <x:v>Simulated</x:v>
      </x:c>
    </x:row>
    <x:row r="33" ht="22" customHeight="1">
      <x:c r="A33" s="2" t="str">
        <x:v>BK-TC-01002-003</x:v>
      </x:c>
      <x:c r="B33" s="2" t="str">
        <x:v>TC-01002</x:v>
      </x:c>
      <x:c r="C33" s="12" t="n">
        <x:v>46151</x:v>
      </x:c>
      <x:c r="D33" s="2" t="n">
        <x:v>1</x:v>
      </x:c>
      <x:c r="E33" s="2" t="str">
        <x:v>Retail</x:v>
      </x:c>
      <x:c r="F33" s="14" t="n">
        <x:v>990</x:v>
      </x:c>
      <x:c r="G33" s="2" t="str">
        <x:v>Simulated</x:v>
      </x:c>
    </x:row>
    <x:row r="34" ht="22" customHeight="1">
      <x:c r="A34" s="2" t="str">
        <x:v>BK-TC-01002-004</x:v>
      </x:c>
      <x:c r="B34" s="2" t="str">
        <x:v>TC-01002</x:v>
      </x:c>
      <x:c r="C34" s="12" t="n">
        <x:v>46172</x:v>
      </x:c>
      <x:c r="D34" s="2" t="n">
        <x:v>1</x:v>
      </x:c>
      <x:c r="E34" s="2" t="str">
        <x:v>Trade</x:v>
      </x:c>
      <x:c r="F34" s="14" t="n">
        <x:v>990</x:v>
      </x:c>
      <x:c r="G34" s="2" t="str">
        <x:v>Simulated</x:v>
      </x:c>
    </x:row>
    <x:row r="35" ht="22" customHeight="1">
      <x:c r="A35" s="2" t="str">
        <x:v>BK-TC-01002-005</x:v>
      </x:c>
      <x:c r="B35" s="2" t="str">
        <x:v>TC-01002</x:v>
      </x:c>
      <x:c r="C35" s="12" t="n">
        <x:v>46273</x:v>
      </x:c>
      <x:c r="D35" s="2" t="n">
        <x:v>1</x:v>
      </x:c>
      <x:c r="E35" s="2" t="str">
        <x:v>Trade</x:v>
      </x:c>
      <x:c r="F35" s="14" t="n">
        <x:v>990</x:v>
      </x:c>
      <x:c r="G35" s="2" t="str">
        <x:v>Simulated</x:v>
      </x:c>
    </x:row>
    <x:row r="36" ht="22" customHeight="1">
      <x:c r="A36" s="2" t="str">
        <x:v>BK-TC-01002-006</x:v>
      </x:c>
      <x:c r="B36" s="2" t="str">
        <x:v>TC-01002</x:v>
      </x:c>
      <x:c r="C36" s="12" t="n">
        <x:v>46202</x:v>
      </x:c>
      <x:c r="D36" s="2" t="n">
        <x:v>1</x:v>
      </x:c>
      <x:c r="E36" s="2" t="str">
        <x:v>Online</x:v>
      </x:c>
      <x:c r="F36" s="14" t="n">
        <x:v>990</x:v>
      </x:c>
      <x:c r="G36" s="2" t="str">
        <x:v>Simulated</x:v>
      </x:c>
    </x:row>
    <x:row r="37" ht="22" customHeight="1">
      <x:c r="A37" s="2" t="str">
        <x:v>BK-TC-01002-007</x:v>
      </x:c>
      <x:c r="B37" s="2" t="str">
        <x:v>TC-01002</x:v>
      </x:c>
      <x:c r="C37" s="12" t="n">
        <x:v>46197</x:v>
      </x:c>
      <x:c r="D37" s="2" t="n">
        <x:v>1</x:v>
      </x:c>
      <x:c r="E37" s="2" t="str">
        <x:v>Retail</x:v>
      </x:c>
      <x:c r="F37" s="14" t="n">
        <x:v>990</x:v>
      </x:c>
      <x:c r="G37" s="2" t="str">
        <x:v>Simulated</x:v>
      </x:c>
    </x:row>
    <x:row r="38" ht="22" customHeight="1">
      <x:c r="A38" s="2" t="str">
        <x:v>BK-TC-01002-008</x:v>
      </x:c>
      <x:c r="B38" s="2" t="str">
        <x:v>TC-01002</x:v>
      </x:c>
      <x:c r="C38" s="12" t="n">
        <x:v>46177</x:v>
      </x:c>
      <x:c r="D38" s="2" t="n">
        <x:v>1</x:v>
      </x:c>
      <x:c r="E38" s="2" t="str">
        <x:v>Online</x:v>
      </x:c>
      <x:c r="F38" s="14" t="n">
        <x:v>990</x:v>
      </x:c>
      <x:c r="G38" s="2" t="str">
        <x:v>Simulated</x:v>
      </x:c>
    </x:row>
    <x:row r="39" ht="22" customHeight="1">
      <x:c r="A39" s="2" t="str">
        <x:v>BK-TC-01002-009</x:v>
      </x:c>
      <x:c r="B39" s="2" t="str">
        <x:v>TC-01002</x:v>
      </x:c>
      <x:c r="C39" s="12" t="n">
        <x:v>46130</x:v>
      </x:c>
      <x:c r="D39" s="2" t="n">
        <x:v>1</x:v>
      </x:c>
      <x:c r="E39" s="2" t="str">
        <x:v>Trade</x:v>
      </x:c>
      <x:c r="F39" s="14" t="n">
        <x:v>990</x:v>
      </x:c>
      <x:c r="G39" s="2" t="str">
        <x:v>Simulated</x:v>
      </x:c>
    </x:row>
    <x:row r="40" ht="22" customHeight="1">
      <x:c r="A40" s="2" t="str">
        <x:v>BK-TC-01002-010</x:v>
      </x:c>
      <x:c r="B40" s="2" t="str">
        <x:v>TC-01002</x:v>
      </x:c>
      <x:c r="C40" s="12" t="n">
        <x:v>46251</x:v>
      </x:c>
      <x:c r="D40" s="2" t="n">
        <x:v>1</x:v>
      </x:c>
      <x:c r="E40" s="2" t="str">
        <x:v>Trade</x:v>
      </x:c>
      <x:c r="F40" s="14" t="n">
        <x:v>990</x:v>
      </x:c>
      <x:c r="G40" s="2" t="str">
        <x:v>Simulated</x:v>
      </x:c>
    </x:row>
    <x:row r="41" ht="22" customHeight="1">
      <x:c r="A41" s="2" t="str">
        <x:v>BK-TC-01002-011</x:v>
      </x:c>
      <x:c r="B41" s="2" t="str">
        <x:v>TC-01002</x:v>
      </x:c>
      <x:c r="C41" s="12" t="n">
        <x:v>46219</x:v>
      </x:c>
      <x:c r="D41" s="2" t="n">
        <x:v>1</x:v>
      </x:c>
      <x:c r="E41" s="2" t="str">
        <x:v>Online</x:v>
      </x:c>
      <x:c r="F41" s="14" t="n">
        <x:v>990</x:v>
      </x:c>
      <x:c r="G41" s="2" t="str">
        <x:v>Simulated</x:v>
      </x:c>
    </x:row>
    <x:row r="42" ht="22" customHeight="1">
      <x:c r="A42" s="2" t="str">
        <x:v>BK-TC-01002-012</x:v>
      </x:c>
      <x:c r="B42" s="2" t="str">
        <x:v>TC-01002</x:v>
      </x:c>
      <x:c r="C42" s="12" t="n">
        <x:v>46130</x:v>
      </x:c>
      <x:c r="D42" s="2" t="n">
        <x:v>1</x:v>
      </x:c>
      <x:c r="E42" s="2" t="str">
        <x:v>Trade</x:v>
      </x:c>
      <x:c r="F42" s="14" t="n">
        <x:v>990</x:v>
      </x:c>
      <x:c r="G42" s="2" t="str">
        <x:v>Simulated</x:v>
      </x:c>
    </x:row>
    <x:row r="43" ht="22" customHeight="1">
      <x:c r="A43" s="2" t="str">
        <x:v>BK-TC-01002-013</x:v>
      </x:c>
      <x:c r="B43" s="2" t="str">
        <x:v>TC-01002</x:v>
      </x:c>
      <x:c r="C43" s="12" t="n">
        <x:v>46245</x:v>
      </x:c>
      <x:c r="D43" s="2" t="n">
        <x:v>1</x:v>
      </x:c>
      <x:c r="E43" s="2" t="str">
        <x:v>Online</x:v>
      </x:c>
      <x:c r="F43" s="14" t="n">
        <x:v>990</x:v>
      </x:c>
      <x:c r="G43" s="2" t="str">
        <x:v>Simulated</x:v>
      </x:c>
    </x:row>
    <x:row r="44" ht="22" customHeight="1">
      <x:c r="A44" s="2" t="str">
        <x:v>BK-TC-01002-014</x:v>
      </x:c>
      <x:c r="B44" s="2" t="str">
        <x:v>TC-01002</x:v>
      </x:c>
      <x:c r="C44" s="12" t="n">
        <x:v>46296</x:v>
      </x:c>
      <x:c r="D44" s="2" t="n">
        <x:v>1</x:v>
      </x:c>
      <x:c r="E44" s="2" t="str">
        <x:v>Retail</x:v>
      </x:c>
      <x:c r="F44" s="14" t="n">
        <x:v>990</x:v>
      </x:c>
      <x:c r="G44" s="2" t="str">
        <x:v>Simulated</x:v>
      </x:c>
    </x:row>
    <x:row r="45" ht="22" customHeight="1">
      <x:c r="A45" s="2" t="str">
        <x:v>BK-TC-01002-015</x:v>
      </x:c>
      <x:c r="B45" s="2" t="str">
        <x:v>TC-01002</x:v>
      </x:c>
      <x:c r="C45" s="12" t="n">
        <x:v>46299</x:v>
      </x:c>
      <x:c r="D45" s="2" t="n">
        <x:v>1</x:v>
      </x:c>
      <x:c r="E45" s="2" t="str">
        <x:v>Trade</x:v>
      </x:c>
      <x:c r="F45" s="14" t="n">
        <x:v>990</x:v>
      </x:c>
      <x:c r="G45" s="2" t="str">
        <x:v>Simulated</x:v>
      </x:c>
    </x:row>
    <x:row r="46" ht="22" customHeight="1">
      <x:c r="A46" s="2" t="str">
        <x:v>BK-TC-01002-016</x:v>
      </x:c>
      <x:c r="B46" s="2" t="str">
        <x:v>TC-01002</x:v>
      </x:c>
      <x:c r="C46" s="12" t="n">
        <x:v>46148</x:v>
      </x:c>
      <x:c r="D46" s="2" t="n">
        <x:v>1</x:v>
      </x:c>
      <x:c r="E46" s="2" t="str">
        <x:v>Online</x:v>
      </x:c>
      <x:c r="F46" s="14" t="n">
        <x:v>990</x:v>
      </x:c>
      <x:c r="G46" s="2" t="str">
        <x:v>Simulated</x:v>
      </x:c>
    </x:row>
    <x:row r="47" ht="22" customHeight="1">
      <x:c r="A47" s="2" t="str">
        <x:v>BK-TC-01002-017</x:v>
      </x:c>
      <x:c r="B47" s="2" t="str">
        <x:v>TC-01002</x:v>
      </x:c>
      <x:c r="C47" s="12" t="n">
        <x:v>46245</x:v>
      </x:c>
      <x:c r="D47" s="2" t="n">
        <x:v>1</x:v>
      </x:c>
      <x:c r="E47" s="2" t="str">
        <x:v>Online</x:v>
      </x:c>
      <x:c r="F47" s="14" t="n">
        <x:v>990</x:v>
      </x:c>
      <x:c r="G47" s="2" t="str">
        <x:v>Simulated</x:v>
      </x:c>
    </x:row>
    <x:row r="48" ht="22" customHeight="1">
      <x:c r="A48" s="2" t="str">
        <x:v>BK-TC-01002-018</x:v>
      </x:c>
      <x:c r="B48" s="2" t="str">
        <x:v>TC-01002</x:v>
      </x:c>
      <x:c r="C48" s="12" t="n">
        <x:v>46200</x:v>
      </x:c>
      <x:c r="D48" s="2" t="n">
        <x:v>1</x:v>
      </x:c>
      <x:c r="E48" s="2" t="str">
        <x:v>Retail</x:v>
      </x:c>
      <x:c r="F48" s="14" t="n">
        <x:v>990</x:v>
      </x:c>
      <x:c r="G48" s="2" t="str">
        <x:v>Simulated</x:v>
      </x:c>
    </x:row>
    <x:row r="49" ht="22" customHeight="1">
      <x:c r="A49" s="2" t="str">
        <x:v>BK-TC-01002-019</x:v>
      </x:c>
      <x:c r="B49" s="2" t="str">
        <x:v>TC-01002</x:v>
      </x:c>
      <x:c r="C49" s="12" t="n">
        <x:v>46292</x:v>
      </x:c>
      <x:c r="D49" s="2" t="n">
        <x:v>1</x:v>
      </x:c>
      <x:c r="E49" s="2" t="str">
        <x:v>Retail</x:v>
      </x:c>
      <x:c r="F49" s="14" t="n">
        <x:v>990</x:v>
      </x:c>
      <x:c r="G49" s="2" t="str">
        <x:v>Simulated</x:v>
      </x:c>
    </x:row>
    <x:row r="50" ht="22" customHeight="1">
      <x:c r="A50" s="2" t="str">
        <x:v>BK-TC-01002-020</x:v>
      </x:c>
      <x:c r="B50" s="2" t="str">
        <x:v>TC-01002</x:v>
      </x:c>
      <x:c r="C50" s="12" t="n">
        <x:v>46129</x:v>
      </x:c>
      <x:c r="D50" s="2" t="n">
        <x:v>1</x:v>
      </x:c>
      <x:c r="E50" s="2" t="str">
        <x:v>Retail</x:v>
      </x:c>
      <x:c r="F50" s="14" t="n">
        <x:v>990</x:v>
      </x:c>
      <x:c r="G50" s="2" t="str">
        <x:v>Simulated</x:v>
      </x:c>
    </x:row>
    <x:row r="51" ht="22" customHeight="1">
      <x:c r="A51" s="2" t="str">
        <x:v>BK-TC-01002-021</x:v>
      </x:c>
      <x:c r="B51" s="2" t="str">
        <x:v>TC-01002</x:v>
      </x:c>
      <x:c r="C51" s="12" t="n">
        <x:v>46187</x:v>
      </x:c>
      <x:c r="D51" s="2" t="n">
        <x:v>1</x:v>
      </x:c>
      <x:c r="E51" s="2" t="str">
        <x:v>Trade</x:v>
      </x:c>
      <x:c r="F51" s="14" t="n">
        <x:v>990</x:v>
      </x:c>
      <x:c r="G51" s="2" t="str">
        <x:v>Simulated</x:v>
      </x:c>
    </x:row>
    <x:row r="52" ht="22" customHeight="1">
      <x:c r="A52" s="2" t="str">
        <x:v>BK-TC-01002-022</x:v>
      </x:c>
      <x:c r="B52" s="2" t="str">
        <x:v>TC-01002</x:v>
      </x:c>
      <x:c r="C52" s="12" t="n">
        <x:v>46261</x:v>
      </x:c>
      <x:c r="D52" s="2" t="n">
        <x:v>1</x:v>
      </x:c>
      <x:c r="E52" s="2" t="str">
        <x:v>Retail</x:v>
      </x:c>
      <x:c r="F52" s="14" t="n">
        <x:v>990</x:v>
      </x:c>
      <x:c r="G52" s="2" t="str">
        <x:v>Simulated</x:v>
      </x:c>
    </x:row>
    <x:row r="53" ht="22" customHeight="1">
      <x:c r="A53" s="2" t="str">
        <x:v>BK-TC-01002-023</x:v>
      </x:c>
      <x:c r="B53" s="2" t="str">
        <x:v>TC-01002</x:v>
      </x:c>
      <x:c r="C53" s="12" t="n">
        <x:v>46143</x:v>
      </x:c>
      <x:c r="D53" s="2" t="n">
        <x:v>1</x:v>
      </x:c>
      <x:c r="E53" s="2" t="str">
        <x:v>Online</x:v>
      </x:c>
      <x:c r="F53" s="14" t="n">
        <x:v>990</x:v>
      </x:c>
      <x:c r="G53" s="2" t="str">
        <x:v>Simulated</x:v>
      </x:c>
    </x:row>
    <x:row r="54" ht="22" customHeight="1">
      <x:c r="A54" s="2" t="str">
        <x:v>BK-TC-01003-001</x:v>
      </x:c>
      <x:c r="B54" s="2" t="str">
        <x:v>TC-01003</x:v>
      </x:c>
      <x:c r="C54" s="12" t="n">
        <x:v>46246</x:v>
      </x:c>
      <x:c r="D54" s="2" t="n">
        <x:v>1</x:v>
      </x:c>
      <x:c r="E54" s="2" t="str">
        <x:v>Trade</x:v>
      </x:c>
      <x:c r="F54" s="14" t="n">
        <x:v>990</x:v>
      </x:c>
      <x:c r="G54" s="2" t="str">
        <x:v>Simulated</x:v>
      </x:c>
    </x:row>
    <x:row r="55" ht="22" customHeight="1">
      <x:c r="A55" s="2" t="str">
        <x:v>BK-TC-01003-002</x:v>
      </x:c>
      <x:c r="B55" s="2" t="str">
        <x:v>TC-01003</x:v>
      </x:c>
      <x:c r="C55" s="12" t="n">
        <x:v>46261</x:v>
      </x:c>
      <x:c r="D55" s="2" t="n">
        <x:v>1</x:v>
      </x:c>
      <x:c r="E55" s="2" t="str">
        <x:v>Trade</x:v>
      </x:c>
      <x:c r="F55" s="14" t="n">
        <x:v>990</x:v>
      </x:c>
      <x:c r="G55" s="2" t="str">
        <x:v>Simulated</x:v>
      </x:c>
    </x:row>
    <x:row r="56" ht="22" customHeight="1">
      <x:c r="A56" s="2" t="str">
        <x:v>BK-TC-01003-003</x:v>
      </x:c>
      <x:c r="B56" s="2" t="str">
        <x:v>TC-01003</x:v>
      </x:c>
      <x:c r="C56" s="12" t="n">
        <x:v>46258</x:v>
      </x:c>
      <x:c r="D56" s="2" t="n">
        <x:v>1</x:v>
      </x:c>
      <x:c r="E56" s="2" t="str">
        <x:v>Trade</x:v>
      </x:c>
      <x:c r="F56" s="14" t="n">
        <x:v>990</x:v>
      </x:c>
      <x:c r="G56" s="2" t="str">
        <x:v>Simulated</x:v>
      </x:c>
    </x:row>
    <x:row r="57" ht="22" customHeight="1">
      <x:c r="A57" s="2" t="str">
        <x:v>BK-TC-01003-004</x:v>
      </x:c>
      <x:c r="B57" s="2" t="str">
        <x:v>TC-01003</x:v>
      </x:c>
      <x:c r="C57" s="12" t="n">
        <x:v>46293</x:v>
      </x:c>
      <x:c r="D57" s="2" t="n">
        <x:v>1</x:v>
      </x:c>
      <x:c r="E57" s="2" t="str">
        <x:v>Retail</x:v>
      </x:c>
      <x:c r="F57" s="14" t="n">
        <x:v>990</x:v>
      </x:c>
      <x:c r="G57" s="2" t="str">
        <x:v>Simulated</x:v>
      </x:c>
    </x:row>
    <x:row r="58" ht="22" customHeight="1">
      <x:c r="A58" s="2" t="str">
        <x:v>BK-TC-01003-005</x:v>
      </x:c>
      <x:c r="B58" s="2" t="str">
        <x:v>TC-01003</x:v>
      </x:c>
      <x:c r="C58" s="12" t="n">
        <x:v>46198</x:v>
      </x:c>
      <x:c r="D58" s="2" t="n">
        <x:v>1</x:v>
      </x:c>
      <x:c r="E58" s="2" t="str">
        <x:v>Retail</x:v>
      </x:c>
      <x:c r="F58" s="14" t="n">
        <x:v>990</x:v>
      </x:c>
      <x:c r="G58" s="2" t="str">
        <x:v>Simulated</x:v>
      </x:c>
    </x:row>
    <x:row r="59" ht="22" customHeight="1">
      <x:c r="A59" s="2" t="str">
        <x:v>BK-TC-01003-006</x:v>
      </x:c>
      <x:c r="B59" s="2" t="str">
        <x:v>TC-01003</x:v>
      </x:c>
      <x:c r="C59" s="12" t="n">
        <x:v>46286</x:v>
      </x:c>
      <x:c r="D59" s="2" t="n">
        <x:v>1</x:v>
      </x:c>
      <x:c r="E59" s="2" t="str">
        <x:v>Trade</x:v>
      </x:c>
      <x:c r="F59" s="14" t="n">
        <x:v>990</x:v>
      </x:c>
      <x:c r="G59" s="2" t="str">
        <x:v>Simulated</x:v>
      </x:c>
    </x:row>
    <x:row r="60" ht="22" customHeight="1">
      <x:c r="A60" s="2" t="str">
        <x:v>BK-TC-01003-007</x:v>
      </x:c>
      <x:c r="B60" s="2" t="str">
        <x:v>TC-01003</x:v>
      </x:c>
      <x:c r="C60" s="12" t="n">
        <x:v>46250</x:v>
      </x:c>
      <x:c r="D60" s="2" t="n">
        <x:v>1</x:v>
      </x:c>
      <x:c r="E60" s="2" t="str">
        <x:v>Online</x:v>
      </x:c>
      <x:c r="F60" s="14" t="n">
        <x:v>990</x:v>
      </x:c>
      <x:c r="G60" s="2" t="str">
        <x:v>Simulated</x:v>
      </x:c>
    </x:row>
    <x:row r="61" ht="22" customHeight="1">
      <x:c r="A61" s="2" t="str">
        <x:v>BK-TC-01003-008</x:v>
      </x:c>
      <x:c r="B61" s="2" t="str">
        <x:v>TC-01003</x:v>
      </x:c>
      <x:c r="C61" s="12" t="n">
        <x:v>46189</x:v>
      </x:c>
      <x:c r="D61" s="2" t="n">
        <x:v>1</x:v>
      </x:c>
      <x:c r="E61" s="2" t="str">
        <x:v>Trade</x:v>
      </x:c>
      <x:c r="F61" s="14" t="n">
        <x:v>990</x:v>
      </x:c>
      <x:c r="G61" s="2" t="str">
        <x:v>Simulated</x:v>
      </x:c>
    </x:row>
    <x:row r="62" ht="22" customHeight="1">
      <x:c r="A62" s="2" t="str">
        <x:v>BK-TC-01003-009</x:v>
      </x:c>
      <x:c r="B62" s="2" t="str">
        <x:v>TC-01003</x:v>
      </x:c>
      <x:c r="C62" s="12" t="n">
        <x:v>46208</x:v>
      </x:c>
      <x:c r="D62" s="2" t="n">
        <x:v>1</x:v>
      </x:c>
      <x:c r="E62" s="2" t="str">
        <x:v>Online</x:v>
      </x:c>
      <x:c r="F62" s="14" t="n">
        <x:v>990</x:v>
      </x:c>
      <x:c r="G62" s="2" t="str">
        <x:v>Simulated</x:v>
      </x:c>
    </x:row>
    <x:row r="63" ht="22" customHeight="1">
      <x:c r="A63" s="2" t="str">
        <x:v>BK-TC-01003-010</x:v>
      </x:c>
      <x:c r="B63" s="2" t="str">
        <x:v>TC-01003</x:v>
      </x:c>
      <x:c r="C63" s="12" t="n">
        <x:v>46232</x:v>
      </x:c>
      <x:c r="D63" s="2" t="n">
        <x:v>1</x:v>
      </x:c>
      <x:c r="E63" s="2" t="str">
        <x:v>Online</x:v>
      </x:c>
      <x:c r="F63" s="14" t="n">
        <x:v>990</x:v>
      </x:c>
      <x:c r="G63" s="2" t="str">
        <x:v>Simulated</x:v>
      </x:c>
    </x:row>
    <x:row r="64" ht="22" customHeight="1">
      <x:c r="A64" s="2" t="str">
        <x:v>BK-TC-01003-011</x:v>
      </x:c>
      <x:c r="B64" s="2" t="str">
        <x:v>TC-01003</x:v>
      </x:c>
      <x:c r="C64" s="12" t="n">
        <x:v>46186</x:v>
      </x:c>
      <x:c r="D64" s="2" t="n">
        <x:v>1</x:v>
      </x:c>
      <x:c r="E64" s="2" t="str">
        <x:v>Trade</x:v>
      </x:c>
      <x:c r="F64" s="14" t="n">
        <x:v>990</x:v>
      </x:c>
      <x:c r="G64" s="2" t="str">
        <x:v>Simulated</x:v>
      </x:c>
    </x:row>
    <x:row r="65" ht="22" customHeight="1">
      <x:c r="A65" s="2" t="str">
        <x:v>BK-TC-01003-012</x:v>
      </x:c>
      <x:c r="B65" s="2" t="str">
        <x:v>TC-01003</x:v>
      </x:c>
      <x:c r="C65" s="12" t="n">
        <x:v>46234</x:v>
      </x:c>
      <x:c r="D65" s="2" t="n">
        <x:v>1</x:v>
      </x:c>
      <x:c r="E65" s="2" t="str">
        <x:v>Trade</x:v>
      </x:c>
      <x:c r="F65" s="14" t="n">
        <x:v>990</x:v>
      </x:c>
      <x:c r="G65" s="2" t="str">
        <x:v>Simulated</x:v>
      </x:c>
    </x:row>
    <x:row r="66" ht="22" customHeight="1">
      <x:c r="A66" s="2" t="str">
        <x:v>BK-TC-01003-013</x:v>
      </x:c>
      <x:c r="B66" s="2" t="str">
        <x:v>TC-01003</x:v>
      </x:c>
      <x:c r="C66" s="12" t="n">
        <x:v>46278</x:v>
      </x:c>
      <x:c r="D66" s="2" t="n">
        <x:v>1</x:v>
      </x:c>
      <x:c r="E66" s="2" t="str">
        <x:v>Online</x:v>
      </x:c>
      <x:c r="F66" s="14" t="n">
        <x:v>990</x:v>
      </x:c>
      <x:c r="G66" s="2" t="str">
        <x:v>Simulated</x:v>
      </x:c>
    </x:row>
    <x:row r="67" ht="22" customHeight="1">
      <x:c r="A67" s="2" t="str">
        <x:v>BK-TC-01003-014</x:v>
      </x:c>
      <x:c r="B67" s="2" t="str">
        <x:v>TC-01003</x:v>
      </x:c>
      <x:c r="C67" s="12" t="n">
        <x:v>46269</x:v>
      </x:c>
      <x:c r="D67" s="2" t="n">
        <x:v>1</x:v>
      </x:c>
      <x:c r="E67" s="2" t="str">
        <x:v>Retail</x:v>
      </x:c>
      <x:c r="F67" s="14" t="n">
        <x:v>990</x:v>
      </x:c>
      <x:c r="G67" s="2" t="str">
        <x:v>Simulated</x:v>
      </x:c>
    </x:row>
    <x:row r="68" ht="22" customHeight="1">
      <x:c r="A68" s="2" t="str">
        <x:v>BK-TC-01003-015</x:v>
      </x:c>
      <x:c r="B68" s="2" t="str">
        <x:v>TC-01003</x:v>
      </x:c>
      <x:c r="C68" s="12" t="n">
        <x:v>46161</x:v>
      </x:c>
      <x:c r="D68" s="2" t="n">
        <x:v>1</x:v>
      </x:c>
      <x:c r="E68" s="2" t="str">
        <x:v>Retail</x:v>
      </x:c>
      <x:c r="F68" s="14" t="n">
        <x:v>990</x:v>
      </x:c>
      <x:c r="G68" s="2" t="str">
        <x:v>Simulated</x:v>
      </x:c>
    </x:row>
    <x:row r="69" ht="22" customHeight="1">
      <x:c r="A69" s="2" t="str">
        <x:v>BK-TC-01003-016</x:v>
      </x:c>
      <x:c r="B69" s="2" t="str">
        <x:v>TC-01003</x:v>
      </x:c>
      <x:c r="C69" s="12" t="n">
        <x:v>46197</x:v>
      </x:c>
      <x:c r="D69" s="2" t="n">
        <x:v>1</x:v>
      </x:c>
      <x:c r="E69" s="2" t="str">
        <x:v>Trade</x:v>
      </x:c>
      <x:c r="F69" s="14" t="n">
        <x:v>990</x:v>
      </x:c>
      <x:c r="G69" s="2" t="str">
        <x:v>Simulated</x:v>
      </x:c>
    </x:row>
    <x:row r="70" ht="22" customHeight="1">
      <x:c r="A70" s="2" t="str">
        <x:v>BK-TC-01003-017</x:v>
      </x:c>
      <x:c r="B70" s="2" t="str">
        <x:v>TC-01003</x:v>
      </x:c>
      <x:c r="C70" s="12" t="n">
        <x:v>46221</x:v>
      </x:c>
      <x:c r="D70" s="2" t="n">
        <x:v>1</x:v>
      </x:c>
      <x:c r="E70" s="2" t="str">
        <x:v>Retail</x:v>
      </x:c>
      <x:c r="F70" s="14" t="n">
        <x:v>990</x:v>
      </x:c>
      <x:c r="G70" s="2" t="str">
        <x:v>Simulated</x:v>
      </x:c>
    </x:row>
    <x:row r="71" ht="22" customHeight="1">
      <x:c r="A71" s="2" t="str">
        <x:v>BK-TC-01003-018</x:v>
      </x:c>
      <x:c r="B71" s="2" t="str">
        <x:v>TC-01003</x:v>
      </x:c>
      <x:c r="C71" s="12" t="n">
        <x:v>46293</x:v>
      </x:c>
      <x:c r="D71" s="2" t="n">
        <x:v>1</x:v>
      </x:c>
      <x:c r="E71" s="2" t="str">
        <x:v>Online</x:v>
      </x:c>
      <x:c r="F71" s="14" t="n">
        <x:v>990</x:v>
      </x:c>
      <x:c r="G71" s="2" t="str">
        <x:v>Simulated</x:v>
      </x:c>
    </x:row>
    <x:row r="72" ht="22" customHeight="1">
      <x:c r="A72" s="2" t="str">
        <x:v>BK-TC-01003-019</x:v>
      </x:c>
      <x:c r="B72" s="2" t="str">
        <x:v>TC-01003</x:v>
      </x:c>
      <x:c r="C72" s="12" t="n">
        <x:v>46154</x:v>
      </x:c>
      <x:c r="D72" s="2" t="n">
        <x:v>1</x:v>
      </x:c>
      <x:c r="E72" s="2" t="str">
        <x:v>Online</x:v>
      </x:c>
      <x:c r="F72" s="14" t="n">
        <x:v>990</x:v>
      </x:c>
      <x:c r="G72" s="2" t="str">
        <x:v>Simulated</x:v>
      </x:c>
    </x:row>
    <x:row r="73" ht="22" customHeight="1">
      <x:c r="A73" s="2" t="str">
        <x:v>BK-TC-01003-020</x:v>
      </x:c>
      <x:c r="B73" s="2" t="str">
        <x:v>TC-01003</x:v>
      </x:c>
      <x:c r="C73" s="12" t="n">
        <x:v>46140</x:v>
      </x:c>
      <x:c r="D73" s="2" t="n">
        <x:v>1</x:v>
      </x:c>
      <x:c r="E73" s="2" t="str">
        <x:v>Online</x:v>
      </x:c>
      <x:c r="F73" s="14" t="n">
        <x:v>990</x:v>
      </x:c>
      <x:c r="G73" s="2" t="str">
        <x:v>Simulated</x:v>
      </x:c>
    </x:row>
    <x:row r="74" ht="22" customHeight="1">
      <x:c r="A74" s="2" t="str">
        <x:v>BK-TC-01003-021</x:v>
      </x:c>
      <x:c r="B74" s="2" t="str">
        <x:v>TC-01003</x:v>
      </x:c>
      <x:c r="C74" s="12" t="n">
        <x:v>46251</x:v>
      </x:c>
      <x:c r="D74" s="2" t="n">
        <x:v>1</x:v>
      </x:c>
      <x:c r="E74" s="2" t="str">
        <x:v>Retail</x:v>
      </x:c>
      <x:c r="F74" s="14" t="n">
        <x:v>990</x:v>
      </x:c>
      <x:c r="G74" s="2" t="str">
        <x:v>Simulated</x:v>
      </x:c>
    </x:row>
    <x:row r="75" ht="22" customHeight="1">
      <x:c r="A75" s="2" t="str">
        <x:v>BK-TC-01003-022</x:v>
      </x:c>
      <x:c r="B75" s="2" t="str">
        <x:v>TC-01003</x:v>
      </x:c>
      <x:c r="C75" s="12" t="n">
        <x:v>46191</x:v>
      </x:c>
      <x:c r="D75" s="2" t="n">
        <x:v>1</x:v>
      </x:c>
      <x:c r="E75" s="2" t="str">
        <x:v>Retail</x:v>
      </x:c>
      <x:c r="F75" s="14" t="n">
        <x:v>990</x:v>
      </x:c>
      <x:c r="G75" s="2" t="str">
        <x:v>Simulated</x:v>
      </x:c>
    </x:row>
    <x:row r="76" ht="22" customHeight="1">
      <x:c r="A76" s="2" t="str">
        <x:v>BK-TC-01003-023</x:v>
      </x:c>
      <x:c r="B76" s="2" t="str">
        <x:v>TC-01003</x:v>
      </x:c>
      <x:c r="C76" s="12" t="n">
        <x:v>46290</x:v>
      </x:c>
      <x:c r="D76" s="2" t="n">
        <x:v>1</x:v>
      </x:c>
      <x:c r="E76" s="2" t="str">
        <x:v>Online</x:v>
      </x:c>
      <x:c r="F76" s="14" t="n">
        <x:v>990</x:v>
      </x:c>
      <x:c r="G76" s="2" t="str">
        <x:v>Simulated</x:v>
      </x:c>
    </x:row>
    <x:row r="77" ht="22" customHeight="1">
      <x:c r="A77" s="2" t="str">
        <x:v>BK-TC-01003-024</x:v>
      </x:c>
      <x:c r="B77" s="2" t="str">
        <x:v>TC-01003</x:v>
      </x:c>
      <x:c r="C77" s="12" t="n">
        <x:v>46242</x:v>
      </x:c>
      <x:c r="D77" s="2" t="n">
        <x:v>1</x:v>
      </x:c>
      <x:c r="E77" s="2" t="str">
        <x:v>Trade</x:v>
      </x:c>
      <x:c r="F77" s="14" t="n">
        <x:v>990</x:v>
      </x:c>
      <x:c r="G77" s="2" t="str">
        <x:v>Simulated</x:v>
      </x:c>
    </x:row>
    <x:row r="78" ht="22" customHeight="1">
      <x:c r="A78" s="2" t="str">
        <x:v>BK-TC-01004-001</x:v>
      </x:c>
      <x:c r="B78" s="2" t="str">
        <x:v>TC-01004</x:v>
      </x:c>
      <x:c r="C78" s="12" t="n">
        <x:v>46262</x:v>
      </x:c>
      <x:c r="D78" s="2" t="n">
        <x:v>1</x:v>
      </x:c>
      <x:c r="E78" s="2" t="str">
        <x:v>Retail</x:v>
      </x:c>
      <x:c r="F78" s="14" t="n">
        <x:v>990</x:v>
      </x:c>
      <x:c r="G78" s="2" t="str">
        <x:v>Simulated</x:v>
      </x:c>
    </x:row>
    <x:row r="79" ht="22" customHeight="1">
      <x:c r="A79" s="2" t="str">
        <x:v>BK-TC-01004-002</x:v>
      </x:c>
      <x:c r="B79" s="2" t="str">
        <x:v>TC-01004</x:v>
      </x:c>
      <x:c r="C79" s="12" t="n">
        <x:v>46274</x:v>
      </x:c>
      <x:c r="D79" s="2" t="n">
        <x:v>1</x:v>
      </x:c>
      <x:c r="E79" s="2" t="str">
        <x:v>Retail</x:v>
      </x:c>
      <x:c r="F79" s="14" t="n">
        <x:v>990</x:v>
      </x:c>
      <x:c r="G79" s="2" t="str">
        <x:v>Simulated</x:v>
      </x:c>
    </x:row>
    <x:row r="80" ht="22" customHeight="1">
      <x:c r="A80" s="2" t="str">
        <x:v>BK-TC-01004-003</x:v>
      </x:c>
      <x:c r="B80" s="2" t="str">
        <x:v>TC-01004</x:v>
      </x:c>
      <x:c r="C80" s="12" t="n">
        <x:v>46208</x:v>
      </x:c>
      <x:c r="D80" s="2" t="n">
        <x:v>1</x:v>
      </x:c>
      <x:c r="E80" s="2" t="str">
        <x:v>Online</x:v>
      </x:c>
      <x:c r="F80" s="14" t="n">
        <x:v>990</x:v>
      </x:c>
      <x:c r="G80" s="2" t="str">
        <x:v>Simulated</x:v>
      </x:c>
    </x:row>
    <x:row r="81" ht="22" customHeight="1">
      <x:c r="A81" s="2" t="str">
        <x:v>BK-TC-01004-004</x:v>
      </x:c>
      <x:c r="B81" s="2" t="str">
        <x:v>TC-01004</x:v>
      </x:c>
      <x:c r="C81" s="12" t="n">
        <x:v>46280</x:v>
      </x:c>
      <x:c r="D81" s="2" t="n">
        <x:v>1</x:v>
      </x:c>
      <x:c r="E81" s="2" t="str">
        <x:v>Retail</x:v>
      </x:c>
      <x:c r="F81" s="14" t="n">
        <x:v>990</x:v>
      </x:c>
      <x:c r="G81" s="2" t="str">
        <x:v>Simulated</x:v>
      </x:c>
    </x:row>
    <x:row r="82" ht="22" customHeight="1">
      <x:c r="A82" s="2" t="str">
        <x:v>BK-TC-01004-005</x:v>
      </x:c>
      <x:c r="B82" s="2" t="str">
        <x:v>TC-01004</x:v>
      </x:c>
      <x:c r="C82" s="12" t="n">
        <x:v>46232</x:v>
      </x:c>
      <x:c r="D82" s="2" t="n">
        <x:v>1</x:v>
      </x:c>
      <x:c r="E82" s="2" t="str">
        <x:v>Retail</x:v>
      </x:c>
      <x:c r="F82" s="14" t="n">
        <x:v>990</x:v>
      </x:c>
      <x:c r="G82" s="2" t="str">
        <x:v>Simulated</x:v>
      </x:c>
    </x:row>
    <x:row r="83" ht="22" customHeight="1">
      <x:c r="A83" s="2" t="str">
        <x:v>BK-TC-01004-006</x:v>
      </x:c>
      <x:c r="B83" s="2" t="str">
        <x:v>TC-01004</x:v>
      </x:c>
      <x:c r="C83" s="12" t="n">
        <x:v>46282</x:v>
      </x:c>
      <x:c r="D83" s="2" t="n">
        <x:v>1</x:v>
      </x:c>
      <x:c r="E83" s="2" t="str">
        <x:v>Retail</x:v>
      </x:c>
      <x:c r="F83" s="14" t="n">
        <x:v>990</x:v>
      </x:c>
      <x:c r="G83" s="2" t="str">
        <x:v>Simulated</x:v>
      </x:c>
    </x:row>
    <x:row r="84" ht="22" customHeight="1">
      <x:c r="A84" s="2" t="str">
        <x:v>BK-TC-01004-007</x:v>
      </x:c>
      <x:c r="B84" s="2" t="str">
        <x:v>TC-01004</x:v>
      </x:c>
      <x:c r="C84" s="12" t="n">
        <x:v>46303</x:v>
      </x:c>
      <x:c r="D84" s="2" t="n">
        <x:v>1</x:v>
      </x:c>
      <x:c r="E84" s="2" t="str">
        <x:v>Online</x:v>
      </x:c>
      <x:c r="F84" s="14" t="n">
        <x:v>990</x:v>
      </x:c>
      <x:c r="G84" s="2" t="str">
        <x:v>Simulated</x:v>
      </x:c>
    </x:row>
    <x:row r="85" ht="22" customHeight="1">
      <x:c r="A85" s="2" t="str">
        <x:v>BK-TC-01004-008</x:v>
      </x:c>
      <x:c r="B85" s="2" t="str">
        <x:v>TC-01004</x:v>
      </x:c>
      <x:c r="C85" s="12" t="n">
        <x:v>46204</x:v>
      </x:c>
      <x:c r="D85" s="2" t="n">
        <x:v>1</x:v>
      </x:c>
      <x:c r="E85" s="2" t="str">
        <x:v>Online</x:v>
      </x:c>
      <x:c r="F85" s="14" t="n">
        <x:v>990</x:v>
      </x:c>
      <x:c r="G85" s="2" t="str">
        <x:v>Simulated</x:v>
      </x:c>
    </x:row>
    <x:row r="86" ht="22" customHeight="1">
      <x:c r="A86" s="2" t="str">
        <x:v>BK-TC-01004-009</x:v>
      </x:c>
      <x:c r="B86" s="2" t="str">
        <x:v>TC-01004</x:v>
      </x:c>
      <x:c r="C86" s="12" t="n">
        <x:v>46248</x:v>
      </x:c>
      <x:c r="D86" s="2" t="n">
        <x:v>1</x:v>
      </x:c>
      <x:c r="E86" s="2" t="str">
        <x:v>Trade</x:v>
      </x:c>
      <x:c r="F86" s="14" t="n">
        <x:v>990</x:v>
      </x:c>
      <x:c r="G86" s="2" t="str">
        <x:v>Simulated</x:v>
      </x:c>
    </x:row>
    <x:row r="87" ht="22" customHeight="1">
      <x:c r="A87" s="2" t="str">
        <x:v>BK-TC-01004-010</x:v>
      </x:c>
      <x:c r="B87" s="2" t="str">
        <x:v>TC-01004</x:v>
      </x:c>
      <x:c r="C87" s="12" t="n">
        <x:v>46251</x:v>
      </x:c>
      <x:c r="D87" s="2" t="n">
        <x:v>1</x:v>
      </x:c>
      <x:c r="E87" s="2" t="str">
        <x:v>Online</x:v>
      </x:c>
      <x:c r="F87" s="14" t="n">
        <x:v>990</x:v>
      </x:c>
      <x:c r="G87" s="2" t="str">
        <x:v>Simulated</x:v>
      </x:c>
    </x:row>
    <x:row r="88" ht="22" customHeight="1">
      <x:c r="A88" s="2" t="str">
        <x:v>BK-TC-01004-011</x:v>
      </x:c>
      <x:c r="B88" s="2" t="str">
        <x:v>TC-01004</x:v>
      </x:c>
      <x:c r="C88" s="12" t="n">
        <x:v>46270</x:v>
      </x:c>
      <x:c r="D88" s="2" t="n">
        <x:v>1</x:v>
      </x:c>
      <x:c r="E88" s="2" t="str">
        <x:v>Online</x:v>
      </x:c>
      <x:c r="F88" s="14" t="n">
        <x:v>990</x:v>
      </x:c>
      <x:c r="G88" s="2" t="str">
        <x:v>Simulated</x:v>
      </x:c>
    </x:row>
    <x:row r="89" ht="22" customHeight="1">
      <x:c r="A89" s="2" t="str">
        <x:v>BK-TC-01004-012</x:v>
      </x:c>
      <x:c r="B89" s="2" t="str">
        <x:v>TC-01004</x:v>
      </x:c>
      <x:c r="C89" s="12" t="n">
        <x:v>46295</x:v>
      </x:c>
      <x:c r="D89" s="2" t="n">
        <x:v>1</x:v>
      </x:c>
      <x:c r="E89" s="2" t="str">
        <x:v>Retail</x:v>
      </x:c>
      <x:c r="F89" s="14" t="n">
        <x:v>990</x:v>
      </x:c>
      <x:c r="G89" s="2" t="str">
        <x:v>Simulated</x:v>
      </x:c>
    </x:row>
    <x:row r="90" ht="22" customHeight="1">
      <x:c r="A90" s="2" t="str">
        <x:v>BK-TC-01004-013</x:v>
      </x:c>
      <x:c r="B90" s="2" t="str">
        <x:v>TC-01004</x:v>
      </x:c>
      <x:c r="C90" s="12" t="n">
        <x:v>46264</x:v>
      </x:c>
      <x:c r="D90" s="2" t="n">
        <x:v>1</x:v>
      </x:c>
      <x:c r="E90" s="2" t="str">
        <x:v>Trade</x:v>
      </x:c>
      <x:c r="F90" s="14" t="n">
        <x:v>990</x:v>
      </x:c>
      <x:c r="G90" s="2" t="str">
        <x:v>Simulated</x:v>
      </x:c>
    </x:row>
    <x:row r="91" ht="22" customHeight="1">
      <x:c r="A91" s="2" t="str">
        <x:v>BK-TC-01004-014</x:v>
      </x:c>
      <x:c r="B91" s="2" t="str">
        <x:v>TC-01004</x:v>
      </x:c>
      <x:c r="C91" s="12" t="n">
        <x:v>46234</x:v>
      </x:c>
      <x:c r="D91" s="2" t="n">
        <x:v>1</x:v>
      </x:c>
      <x:c r="E91" s="2" t="str">
        <x:v>Online</x:v>
      </x:c>
      <x:c r="F91" s="14" t="n">
        <x:v>990</x:v>
      </x:c>
      <x:c r="G91" s="2" t="str">
        <x:v>Simulated</x:v>
      </x:c>
    </x:row>
    <x:row r="92" ht="22" customHeight="1">
      <x:c r="A92" s="2" t="str">
        <x:v>BK-TC-01004-015</x:v>
      </x:c>
      <x:c r="B92" s="2" t="str">
        <x:v>TC-01004</x:v>
      </x:c>
      <x:c r="C92" s="12" t="n">
        <x:v>46273</x:v>
      </x:c>
      <x:c r="D92" s="2" t="n">
        <x:v>1</x:v>
      </x:c>
      <x:c r="E92" s="2" t="str">
        <x:v>Retail</x:v>
      </x:c>
      <x:c r="F92" s="14" t="n">
        <x:v>990</x:v>
      </x:c>
      <x:c r="G92" s="2" t="str">
        <x:v>Simulated</x:v>
      </x:c>
    </x:row>
    <x:row r="93" ht="22" customHeight="1">
      <x:c r="A93" s="2" t="str">
        <x:v>BK-TC-01004-016</x:v>
      </x:c>
      <x:c r="B93" s="2" t="str">
        <x:v>TC-01004</x:v>
      </x:c>
      <x:c r="C93" s="12" t="n">
        <x:v>46209</x:v>
      </x:c>
      <x:c r="D93" s="2" t="n">
        <x:v>1</x:v>
      </x:c>
      <x:c r="E93" s="2" t="str">
        <x:v>Trade</x:v>
      </x:c>
      <x:c r="F93" s="14" t="n">
        <x:v>990</x:v>
      </x:c>
      <x:c r="G93" s="2" t="str">
        <x:v>Simulated</x:v>
      </x:c>
    </x:row>
    <x:row r="94" ht="22" customHeight="1">
      <x:c r="A94" s="2" t="str">
        <x:v>BK-TC-01004-017</x:v>
      </x:c>
      <x:c r="B94" s="2" t="str">
        <x:v>TC-01004</x:v>
      </x:c>
      <x:c r="C94" s="12" t="n">
        <x:v>46204</x:v>
      </x:c>
      <x:c r="D94" s="2" t="n">
        <x:v>1</x:v>
      </x:c>
      <x:c r="E94" s="2" t="str">
        <x:v>Retail</x:v>
      </x:c>
      <x:c r="F94" s="14" t="n">
        <x:v>990</x:v>
      </x:c>
      <x:c r="G94" s="2" t="str">
        <x:v>Simulated</x:v>
      </x:c>
    </x:row>
    <x:row r="95" ht="22" customHeight="1">
      <x:c r="A95" s="2" t="str">
        <x:v>BK-TC-01004-018</x:v>
      </x:c>
      <x:c r="B95" s="2" t="str">
        <x:v>TC-01004</x:v>
      </x:c>
      <x:c r="C95" s="12" t="n">
        <x:v>46212</x:v>
      </x:c>
      <x:c r="D95" s="2" t="n">
        <x:v>1</x:v>
      </x:c>
      <x:c r="E95" s="2" t="str">
        <x:v>Trade</x:v>
      </x:c>
      <x:c r="F95" s="14" t="n">
        <x:v>990</x:v>
      </x:c>
      <x:c r="G95" s="2" t="str">
        <x:v>Simulated</x:v>
      </x:c>
    </x:row>
    <x:row r="96" ht="22" customHeight="1">
      <x:c r="A96" s="2" t="str">
        <x:v>BK-TC-01004-019</x:v>
      </x:c>
      <x:c r="B96" s="2" t="str">
        <x:v>TC-01004</x:v>
      </x:c>
      <x:c r="C96" s="12" t="n">
        <x:v>46209</x:v>
      </x:c>
      <x:c r="D96" s="2" t="n">
        <x:v>1</x:v>
      </x:c>
      <x:c r="E96" s="2" t="str">
        <x:v>Online</x:v>
      </x:c>
      <x:c r="F96" s="14" t="n">
        <x:v>990</x:v>
      </x:c>
      <x:c r="G96" s="2" t="str">
        <x:v>Simulated</x:v>
      </x:c>
    </x:row>
    <x:row r="97" ht="22" customHeight="1">
      <x:c r="A97" s="2" t="str">
        <x:v>BK-TC-01004-020</x:v>
      </x:c>
      <x:c r="B97" s="2" t="str">
        <x:v>TC-01004</x:v>
      </x:c>
      <x:c r="C97" s="12" t="n">
        <x:v>46192</x:v>
      </x:c>
      <x:c r="D97" s="2" t="n">
        <x:v>1</x:v>
      </x:c>
      <x:c r="E97" s="2" t="str">
        <x:v>Retail</x:v>
      </x:c>
      <x:c r="F97" s="14" t="n">
        <x:v>990</x:v>
      </x:c>
      <x:c r="G97" s="2" t="str">
        <x:v>Simulated</x:v>
      </x:c>
    </x:row>
    <x:row r="98" ht="22" customHeight="1">
      <x:c r="A98" s="2" t="str">
        <x:v>BK-TC-01004-021</x:v>
      </x:c>
      <x:c r="B98" s="2" t="str">
        <x:v>TC-01004</x:v>
      </x:c>
      <x:c r="C98" s="12" t="n">
        <x:v>46263</x:v>
      </x:c>
      <x:c r="D98" s="2" t="n">
        <x:v>1</x:v>
      </x:c>
      <x:c r="E98" s="2" t="str">
        <x:v>Trade</x:v>
      </x:c>
      <x:c r="F98" s="14" t="n">
        <x:v>990</x:v>
      </x:c>
      <x:c r="G98" s="2" t="str">
        <x:v>Simulated</x:v>
      </x:c>
    </x:row>
    <x:row r="99" ht="22" customHeight="1">
      <x:c r="A99" s="2" t="str">
        <x:v>BK-TC-01004-022</x:v>
      </x:c>
      <x:c r="B99" s="2" t="str">
        <x:v>TC-01004</x:v>
      </x:c>
      <x:c r="C99" s="12" t="n">
        <x:v>46221</x:v>
      </x:c>
      <x:c r="D99" s="2" t="n">
        <x:v>1</x:v>
      </x:c>
      <x:c r="E99" s="2" t="str">
        <x:v>Retail</x:v>
      </x:c>
      <x:c r="F99" s="14" t="n">
        <x:v>990</x:v>
      </x:c>
      <x:c r="G99" s="2" t="str">
        <x:v>Simulated</x:v>
      </x:c>
    </x:row>
    <x:row r="100" ht="22" customHeight="1">
      <x:c r="A100" s="2" t="str">
        <x:v>BK-TC-01005-001</x:v>
      </x:c>
      <x:c r="B100" s="2" t="str">
        <x:v>TC-01005</x:v>
      </x:c>
      <x:c r="C100" s="12" t="n">
        <x:v>46264</x:v>
      </x:c>
      <x:c r="D100" s="2" t="n">
        <x:v>1</x:v>
      </x:c>
      <x:c r="E100" s="2" t="str">
        <x:v>Trade</x:v>
      </x:c>
      <x:c r="F100" s="14" t="n">
        <x:v>990</x:v>
      </x:c>
      <x:c r="G100" s="2" t="str">
        <x:v>Simulated</x:v>
      </x:c>
    </x:row>
    <x:row r="101" ht="22" customHeight="1">
      <x:c r="A101" s="2" t="str">
        <x:v>BK-TC-01005-002</x:v>
      </x:c>
      <x:c r="B101" s="2" t="str">
        <x:v>TC-01005</x:v>
      </x:c>
      <x:c r="C101" s="12" t="n">
        <x:v>46224</x:v>
      </x:c>
      <x:c r="D101" s="2" t="n">
        <x:v>1</x:v>
      </x:c>
      <x:c r="E101" s="2" t="str">
        <x:v>Retail</x:v>
      </x:c>
      <x:c r="F101" s="14" t="n">
        <x:v>990</x:v>
      </x:c>
      <x:c r="G101" s="2" t="str">
        <x:v>Simulated</x:v>
      </x:c>
    </x:row>
    <x:row r="102" ht="22" customHeight="1">
      <x:c r="A102" s="2" t="str">
        <x:v>BK-TC-01005-003</x:v>
      </x:c>
      <x:c r="B102" s="2" t="str">
        <x:v>TC-01005</x:v>
      </x:c>
      <x:c r="C102" s="12" t="n">
        <x:v>46301</x:v>
      </x:c>
      <x:c r="D102" s="2" t="n">
        <x:v>1</x:v>
      </x:c>
      <x:c r="E102" s="2" t="str">
        <x:v>Trade</x:v>
      </x:c>
      <x:c r="F102" s="14" t="n">
        <x:v>990</x:v>
      </x:c>
      <x:c r="G102" s="2" t="str">
        <x:v>Simulated</x:v>
      </x:c>
    </x:row>
    <x:row r="103" ht="22" customHeight="1">
      <x:c r="A103" s="2" t="str">
        <x:v>BK-TC-01005-004</x:v>
      </x:c>
      <x:c r="B103" s="2" t="str">
        <x:v>TC-01005</x:v>
      </x:c>
      <x:c r="C103" s="12" t="n">
        <x:v>46299</x:v>
      </x:c>
      <x:c r="D103" s="2" t="n">
        <x:v>1</x:v>
      </x:c>
      <x:c r="E103" s="2" t="str">
        <x:v>Online</x:v>
      </x:c>
      <x:c r="F103" s="14" t="n">
        <x:v>990</x:v>
      </x:c>
      <x:c r="G103" s="2" t="str">
        <x:v>Simulated</x:v>
      </x:c>
    </x:row>
    <x:row r="104" ht="22" customHeight="1">
      <x:c r="A104" s="2" t="str">
        <x:v>BK-TC-01005-005</x:v>
      </x:c>
      <x:c r="B104" s="2" t="str">
        <x:v>TC-01005</x:v>
      </x:c>
      <x:c r="C104" s="12" t="n">
        <x:v>46276</x:v>
      </x:c>
      <x:c r="D104" s="2" t="n">
        <x:v>1</x:v>
      </x:c>
      <x:c r="E104" s="2" t="str">
        <x:v>Retail</x:v>
      </x:c>
      <x:c r="F104" s="14" t="n">
        <x:v>990</x:v>
      </x:c>
      <x:c r="G104" s="2" t="str">
        <x:v>Simulated</x:v>
      </x:c>
    </x:row>
    <x:row r="105" ht="22" customHeight="1">
      <x:c r="A105" s="2" t="str">
        <x:v>BK-TC-01005-006</x:v>
      </x:c>
      <x:c r="B105" s="2" t="str">
        <x:v>TC-01005</x:v>
      </x:c>
      <x:c r="C105" s="12" t="n">
        <x:v>46235</x:v>
      </x:c>
      <x:c r="D105" s="2" t="n">
        <x:v>1</x:v>
      </x:c>
      <x:c r="E105" s="2" t="str">
        <x:v>Online</x:v>
      </x:c>
      <x:c r="F105" s="14" t="n">
        <x:v>990</x:v>
      </x:c>
      <x:c r="G105" s="2" t="str">
        <x:v>Simulated</x:v>
      </x:c>
    </x:row>
    <x:row r="106" ht="22" customHeight="1">
      <x:c r="A106" s="2" t="str">
        <x:v>BK-TC-01005-007</x:v>
      </x:c>
      <x:c r="B106" s="2" t="str">
        <x:v>TC-01005</x:v>
      </x:c>
      <x:c r="C106" s="12" t="n">
        <x:v>46251</x:v>
      </x:c>
      <x:c r="D106" s="2" t="n">
        <x:v>1</x:v>
      </x:c>
      <x:c r="E106" s="2" t="str">
        <x:v>Retail</x:v>
      </x:c>
      <x:c r="F106" s="14" t="n">
        <x:v>990</x:v>
      </x:c>
      <x:c r="G106" s="2" t="str">
        <x:v>Simulated</x:v>
      </x:c>
    </x:row>
    <x:row r="107" ht="22" customHeight="1">
      <x:c r="A107" s="2" t="str">
        <x:v>BK-TC-01005-008</x:v>
      </x:c>
      <x:c r="B107" s="2" t="str">
        <x:v>TC-01005</x:v>
      </x:c>
      <x:c r="C107" s="12" t="n">
        <x:v>46234</x:v>
      </x:c>
      <x:c r="D107" s="2" t="n">
        <x:v>1</x:v>
      </x:c>
      <x:c r="E107" s="2" t="str">
        <x:v>Trade</x:v>
      </x:c>
      <x:c r="F107" s="14" t="n">
        <x:v>990</x:v>
      </x:c>
      <x:c r="G107" s="2" t="str">
        <x:v>Simulated</x:v>
      </x:c>
    </x:row>
    <x:row r="108" ht="22" customHeight="1">
      <x:c r="A108" s="2" t="str">
        <x:v>BK-TC-01005-009</x:v>
      </x:c>
      <x:c r="B108" s="2" t="str">
        <x:v>TC-01005</x:v>
      </x:c>
      <x:c r="C108" s="12" t="n">
        <x:v>46184</x:v>
      </x:c>
      <x:c r="D108" s="2" t="n">
        <x:v>1</x:v>
      </x:c>
      <x:c r="E108" s="2" t="str">
        <x:v>Retail</x:v>
      </x:c>
      <x:c r="F108" s="14" t="n">
        <x:v>990</x:v>
      </x:c>
      <x:c r="G108" s="2" t="str">
        <x:v>Simulated</x:v>
      </x:c>
    </x:row>
    <x:row r="109" ht="22" customHeight="1">
      <x:c r="A109" s="2" t="str">
        <x:v>BK-TC-01005-010</x:v>
      </x:c>
      <x:c r="B109" s="2" t="str">
        <x:v>TC-01005</x:v>
      </x:c>
      <x:c r="C109" s="12" t="n">
        <x:v>46287</x:v>
      </x:c>
      <x:c r="D109" s="2" t="n">
        <x:v>1</x:v>
      </x:c>
      <x:c r="E109" s="2" t="str">
        <x:v>Online</x:v>
      </x:c>
      <x:c r="F109" s="14" t="n">
        <x:v>990</x:v>
      </x:c>
      <x:c r="G109" s="2" t="str">
        <x:v>Simulated</x:v>
      </x:c>
    </x:row>
    <x:row r="110" ht="22" customHeight="1">
      <x:c r="A110" s="2" t="str">
        <x:v>BK-TC-01005-011</x:v>
      </x:c>
      <x:c r="B110" s="2" t="str">
        <x:v>TC-01005</x:v>
      </x:c>
      <x:c r="C110" s="12" t="n">
        <x:v>46278</x:v>
      </x:c>
      <x:c r="D110" s="2" t="n">
        <x:v>1</x:v>
      </x:c>
      <x:c r="E110" s="2" t="str">
        <x:v>Online</x:v>
      </x:c>
      <x:c r="F110" s="14" t="n">
        <x:v>990</x:v>
      </x:c>
      <x:c r="G110" s="2" t="str">
        <x:v>Simulated</x:v>
      </x:c>
    </x:row>
    <x:row r="111" ht="22" customHeight="1">
      <x:c r="A111" s="2" t="str">
        <x:v>BK-TC-01005-012</x:v>
      </x:c>
      <x:c r="B111" s="2" t="str">
        <x:v>TC-01005</x:v>
      </x:c>
      <x:c r="C111" s="12" t="n">
        <x:v>46244</x:v>
      </x:c>
      <x:c r="D111" s="2" t="n">
        <x:v>1</x:v>
      </x:c>
      <x:c r="E111" s="2" t="str">
        <x:v>Online</x:v>
      </x:c>
      <x:c r="F111" s="14" t="n">
        <x:v>990</x:v>
      </x:c>
      <x:c r="G111" s="2" t="str">
        <x:v>Simulated</x:v>
      </x:c>
    </x:row>
    <x:row r="112" ht="22" customHeight="1">
      <x:c r="A112" s="2" t="str">
        <x:v>BK-TC-01005-013</x:v>
      </x:c>
      <x:c r="B112" s="2" t="str">
        <x:v>TC-01005</x:v>
      </x:c>
      <x:c r="C112" s="12" t="n">
        <x:v>46178</x:v>
      </x:c>
      <x:c r="D112" s="2" t="n">
        <x:v>1</x:v>
      </x:c>
      <x:c r="E112" s="2" t="str">
        <x:v>Retail</x:v>
      </x:c>
      <x:c r="F112" s="14" t="n">
        <x:v>990</x:v>
      </x:c>
      <x:c r="G112" s="2" t="str">
        <x:v>Simulated</x:v>
      </x:c>
    </x:row>
    <x:row r="113" ht="22" customHeight="1">
      <x:c r="A113" s="2" t="str">
        <x:v>BK-TC-01005-014</x:v>
      </x:c>
      <x:c r="B113" s="2" t="str">
        <x:v>TC-01005</x:v>
      </x:c>
      <x:c r="C113" s="12" t="n">
        <x:v>46217</x:v>
      </x:c>
      <x:c r="D113" s="2" t="n">
        <x:v>1</x:v>
      </x:c>
      <x:c r="E113" s="2" t="str">
        <x:v>Trade</x:v>
      </x:c>
      <x:c r="F113" s="14" t="n">
        <x:v>990</x:v>
      </x:c>
      <x:c r="G113" s="2" t="str">
        <x:v>Simulated</x:v>
      </x:c>
    </x:row>
    <x:row r="114" ht="22" customHeight="1">
      <x:c r="A114" s="2" t="str">
        <x:v>BK-TC-01006-001</x:v>
      </x:c>
      <x:c r="B114" s="2" t="str">
        <x:v>TC-01006</x:v>
      </x:c>
      <x:c r="C114" s="12" t="n">
        <x:v>46281</x:v>
      </x:c>
      <x:c r="D114" s="2" t="n">
        <x:v>1</x:v>
      </x:c>
      <x:c r="E114" s="2" t="str">
        <x:v>Retail</x:v>
      </x:c>
      <x:c r="F114" s="14" t="n">
        <x:v>990</x:v>
      </x:c>
      <x:c r="G114" s="2" t="str">
        <x:v>Simulated</x:v>
      </x:c>
    </x:row>
    <x:row r="115" ht="22" customHeight="1">
      <x:c r="A115" s="2" t="str">
        <x:v>BK-TC-01006-002</x:v>
      </x:c>
      <x:c r="B115" s="2" t="str">
        <x:v>TC-01006</x:v>
      </x:c>
      <x:c r="C115" s="12" t="n">
        <x:v>46243</x:v>
      </x:c>
      <x:c r="D115" s="2" t="n">
        <x:v>1</x:v>
      </x:c>
      <x:c r="E115" s="2" t="str">
        <x:v>Retail</x:v>
      </x:c>
      <x:c r="F115" s="14" t="n">
        <x:v>990</x:v>
      </x:c>
      <x:c r="G115" s="2" t="str">
        <x:v>Simulated</x:v>
      </x:c>
    </x:row>
    <x:row r="116" ht="22" customHeight="1">
      <x:c r="A116" s="2" t="str">
        <x:v>BK-TC-01006-003</x:v>
      </x:c>
      <x:c r="B116" s="2" t="str">
        <x:v>TC-01006</x:v>
      </x:c>
      <x:c r="C116" s="12" t="n">
        <x:v>46199</x:v>
      </x:c>
      <x:c r="D116" s="2" t="n">
        <x:v>1</x:v>
      </x:c>
      <x:c r="E116" s="2" t="str">
        <x:v>Online</x:v>
      </x:c>
      <x:c r="F116" s="14" t="n">
        <x:v>990</x:v>
      </x:c>
      <x:c r="G116" s="2" t="str">
        <x:v>Simulated</x:v>
      </x:c>
    </x:row>
    <x:row r="117" ht="22" customHeight="1">
      <x:c r="A117" s="2" t="str">
        <x:v>BK-TC-01006-004</x:v>
      </x:c>
      <x:c r="B117" s="2" t="str">
        <x:v>TC-01006</x:v>
      </x:c>
      <x:c r="C117" s="12" t="n">
        <x:v>46297</x:v>
      </x:c>
      <x:c r="D117" s="2" t="n">
        <x:v>1</x:v>
      </x:c>
      <x:c r="E117" s="2" t="str">
        <x:v>Trade</x:v>
      </x:c>
      <x:c r="F117" s="14" t="n">
        <x:v>990</x:v>
      </x:c>
      <x:c r="G117" s="2" t="str">
        <x:v>Simulated</x:v>
      </x:c>
    </x:row>
    <x:row r="118" ht="22" customHeight="1">
      <x:c r="A118" s="2" t="str">
        <x:v>BK-TC-01006-005</x:v>
      </x:c>
      <x:c r="B118" s="2" t="str">
        <x:v>TC-01006</x:v>
      </x:c>
      <x:c r="C118" s="12" t="n">
        <x:v>46282</x:v>
      </x:c>
      <x:c r="D118" s="2" t="n">
        <x:v>1</x:v>
      </x:c>
      <x:c r="E118" s="2" t="str">
        <x:v>Retail</x:v>
      </x:c>
      <x:c r="F118" s="14" t="n">
        <x:v>990</x:v>
      </x:c>
      <x:c r="G118" s="2" t="str">
        <x:v>Simulated</x:v>
      </x:c>
    </x:row>
    <x:row r="119" ht="22" customHeight="1">
      <x:c r="A119" s="2" t="str">
        <x:v>BK-TC-01006-006</x:v>
      </x:c>
      <x:c r="B119" s="2" t="str">
        <x:v>TC-01006</x:v>
      </x:c>
      <x:c r="C119" s="12" t="n">
        <x:v>46246</x:v>
      </x:c>
      <x:c r="D119" s="2" t="n">
        <x:v>1</x:v>
      </x:c>
      <x:c r="E119" s="2" t="str">
        <x:v>Online</x:v>
      </x:c>
      <x:c r="F119" s="14" t="n">
        <x:v>990</x:v>
      </x:c>
      <x:c r="G119" s="2" t="str">
        <x:v>Simulated</x:v>
      </x:c>
    </x:row>
    <x:row r="120" ht="22" customHeight="1">
      <x:c r="A120" s="2" t="str">
        <x:v>BK-TC-01006-007</x:v>
      </x:c>
      <x:c r="B120" s="2" t="str">
        <x:v>TC-01006</x:v>
      </x:c>
      <x:c r="C120" s="12" t="n">
        <x:v>46203</x:v>
      </x:c>
      <x:c r="D120" s="2" t="n">
        <x:v>1</x:v>
      </x:c>
      <x:c r="E120" s="2" t="str">
        <x:v>Trade</x:v>
      </x:c>
      <x:c r="F120" s="14" t="n">
        <x:v>990</x:v>
      </x:c>
      <x:c r="G120" s="2" t="str">
        <x:v>Simulated</x:v>
      </x:c>
    </x:row>
    <x:row r="121" ht="22" customHeight="1">
      <x:c r="A121" s="2" t="str">
        <x:v>BK-TC-01006-008</x:v>
      </x:c>
      <x:c r="B121" s="2" t="str">
        <x:v>TC-01006</x:v>
      </x:c>
      <x:c r="C121" s="12" t="n">
        <x:v>46207</x:v>
      </x:c>
      <x:c r="D121" s="2" t="n">
        <x:v>1</x:v>
      </x:c>
      <x:c r="E121" s="2" t="str">
        <x:v>Trade</x:v>
      </x:c>
      <x:c r="F121" s="14" t="n">
        <x:v>990</x:v>
      </x:c>
      <x:c r="G121" s="2" t="str">
        <x:v>Simulated</x:v>
      </x:c>
    </x:row>
    <x:row r="122" ht="22" customHeight="1">
      <x:c r="A122" s="2" t="str">
        <x:v>BK-TC-01006-009</x:v>
      </x:c>
      <x:c r="B122" s="2" t="str">
        <x:v>TC-01006</x:v>
      </x:c>
      <x:c r="C122" s="12" t="n">
        <x:v>46295</x:v>
      </x:c>
      <x:c r="D122" s="2" t="n">
        <x:v>1</x:v>
      </x:c>
      <x:c r="E122" s="2" t="str">
        <x:v>Retail</x:v>
      </x:c>
      <x:c r="F122" s="14" t="n">
        <x:v>990</x:v>
      </x:c>
      <x:c r="G122" s="2" t="str">
        <x:v>Simulated</x:v>
      </x:c>
    </x:row>
    <x:row r="123" ht="22" customHeight="1">
      <x:c r="A123" s="2" t="str">
        <x:v>BK-TC-01006-010</x:v>
      </x:c>
      <x:c r="B123" s="2" t="str">
        <x:v>TC-01006</x:v>
      </x:c>
      <x:c r="C123" s="12" t="n">
        <x:v>46200</x:v>
      </x:c>
      <x:c r="D123" s="2" t="n">
        <x:v>1</x:v>
      </x:c>
      <x:c r="E123" s="2" t="str">
        <x:v>Trade</x:v>
      </x:c>
      <x:c r="F123" s="14" t="n">
        <x:v>990</x:v>
      </x:c>
      <x:c r="G123" s="2" t="str">
        <x:v>Simulated</x:v>
      </x:c>
    </x:row>
    <x:row r="124" ht="22" customHeight="1">
      <x:c r="A124" s="2" t="str">
        <x:v>BK-TC-01006-011</x:v>
      </x:c>
      <x:c r="B124" s="2" t="str">
        <x:v>TC-01006</x:v>
      </x:c>
      <x:c r="C124" s="12" t="n">
        <x:v>46278</x:v>
      </x:c>
      <x:c r="D124" s="2" t="n">
        <x:v>1</x:v>
      </x:c>
      <x:c r="E124" s="2" t="str">
        <x:v>Trade</x:v>
      </x:c>
      <x:c r="F124" s="14" t="n">
        <x:v>990</x:v>
      </x:c>
      <x:c r="G124" s="2" t="str">
        <x:v>Simulated</x:v>
      </x:c>
    </x:row>
    <x:row r="125" ht="22" customHeight="1">
      <x:c r="A125" s="2" t="str">
        <x:v>BK-TC-01006-012</x:v>
      </x:c>
      <x:c r="B125" s="2" t="str">
        <x:v>TC-01006</x:v>
      </x:c>
      <x:c r="C125" s="12" t="n">
        <x:v>46203</x:v>
      </x:c>
      <x:c r="D125" s="2" t="n">
        <x:v>1</x:v>
      </x:c>
      <x:c r="E125" s="2" t="str">
        <x:v>Retail</x:v>
      </x:c>
      <x:c r="F125" s="14" t="n">
        <x:v>990</x:v>
      </x:c>
      <x:c r="G125" s="2" t="str">
        <x:v>Simulated</x:v>
      </x:c>
    </x:row>
    <x:row r="126" ht="22" customHeight="1">
      <x:c r="A126" s="2" t="str">
        <x:v>BK-TC-01006-013</x:v>
      </x:c>
      <x:c r="B126" s="2" t="str">
        <x:v>TC-01006</x:v>
      </x:c>
      <x:c r="C126" s="12" t="n">
        <x:v>46282</x:v>
      </x:c>
      <x:c r="D126" s="2" t="n">
        <x:v>1</x:v>
      </x:c>
      <x:c r="E126" s="2" t="str">
        <x:v>Trade</x:v>
      </x:c>
      <x:c r="F126" s="14" t="n">
        <x:v>990</x:v>
      </x:c>
      <x:c r="G126" s="2" t="str">
        <x:v>Simulated</x:v>
      </x:c>
    </x:row>
    <x:row r="127" ht="22" customHeight="1">
      <x:c r="A127" s="2" t="str">
        <x:v>BK-TC-01007-001</x:v>
      </x:c>
      <x:c r="B127" s="2" t="str">
        <x:v>TC-01007</x:v>
      </x:c>
      <x:c r="C127" s="12" t="n">
        <x:v>46289</x:v>
      </x:c>
      <x:c r="D127" s="2" t="n">
        <x:v>1</x:v>
      </x:c>
      <x:c r="E127" s="2" t="str">
        <x:v>Online</x:v>
      </x:c>
      <x:c r="F127" s="14" t="n">
        <x:v>990</x:v>
      </x:c>
      <x:c r="G127" s="2" t="str">
        <x:v>Simulated</x:v>
      </x:c>
    </x:row>
    <x:row r="128" ht="22" customHeight="1">
      <x:c r="A128" s="2" t="str">
        <x:v>BK-TC-01007-002</x:v>
      </x:c>
      <x:c r="B128" s="2" t="str">
        <x:v>TC-01007</x:v>
      </x:c>
      <x:c r="C128" s="12" t="n">
        <x:v>46219</x:v>
      </x:c>
      <x:c r="D128" s="2" t="n">
        <x:v>1</x:v>
      </x:c>
      <x:c r="E128" s="2" t="str">
        <x:v>Online</x:v>
      </x:c>
      <x:c r="F128" s="14" t="n">
        <x:v>990</x:v>
      </x:c>
      <x:c r="G128" s="2" t="str">
        <x:v>Simulated</x:v>
      </x:c>
    </x:row>
    <x:row r="129" ht="22" customHeight="1">
      <x:c r="A129" s="2" t="str">
        <x:v>BK-TC-01007-003</x:v>
      </x:c>
      <x:c r="B129" s="2" t="str">
        <x:v>TC-01007</x:v>
      </x:c>
      <x:c r="C129" s="12" t="n">
        <x:v>46298</x:v>
      </x:c>
      <x:c r="D129" s="2" t="n">
        <x:v>1</x:v>
      </x:c>
      <x:c r="E129" s="2" t="str">
        <x:v>Retail</x:v>
      </x:c>
      <x:c r="F129" s="14" t="n">
        <x:v>990</x:v>
      </x:c>
      <x:c r="G129" s="2" t="str">
        <x:v>Simulated</x:v>
      </x:c>
    </x:row>
    <x:row r="130" ht="22" customHeight="1">
      <x:c r="A130" s="2" t="str">
        <x:v>BK-TC-01007-004</x:v>
      </x:c>
      <x:c r="B130" s="2" t="str">
        <x:v>TC-01007</x:v>
      </x:c>
      <x:c r="C130" s="12" t="n">
        <x:v>46297</x:v>
      </x:c>
      <x:c r="D130" s="2" t="n">
        <x:v>1</x:v>
      </x:c>
      <x:c r="E130" s="2" t="str">
        <x:v>Online</x:v>
      </x:c>
      <x:c r="F130" s="14" t="n">
        <x:v>990</x:v>
      </x:c>
      <x:c r="G130" s="2" t="str">
        <x:v>Simulated</x:v>
      </x:c>
    </x:row>
    <x:row r="131" ht="22" customHeight="1">
      <x:c r="A131" s="2" t="str">
        <x:v>BK-TC-01007-005</x:v>
      </x:c>
      <x:c r="B131" s="2" t="str">
        <x:v>TC-01007</x:v>
      </x:c>
      <x:c r="C131" s="12" t="n">
        <x:v>46296</x:v>
      </x:c>
      <x:c r="D131" s="2" t="n">
        <x:v>1</x:v>
      </x:c>
      <x:c r="E131" s="2" t="str">
        <x:v>Trade</x:v>
      </x:c>
      <x:c r="F131" s="14" t="n">
        <x:v>990</x:v>
      </x:c>
      <x:c r="G131" s="2" t="str">
        <x:v>Simulated</x:v>
      </x:c>
    </x:row>
    <x:row r="132" ht="22" customHeight="1">
      <x:c r="A132" s="2" t="str">
        <x:v>BK-TC-01007-006</x:v>
      </x:c>
      <x:c r="B132" s="2" t="str">
        <x:v>TC-01007</x:v>
      </x:c>
      <x:c r="C132" s="12" t="n">
        <x:v>46299</x:v>
      </x:c>
      <x:c r="D132" s="2" t="n">
        <x:v>1</x:v>
      </x:c>
      <x:c r="E132" s="2" t="str">
        <x:v>Trade</x:v>
      </x:c>
      <x:c r="F132" s="14" t="n">
        <x:v>990</x:v>
      </x:c>
      <x:c r="G132" s="2" t="str">
        <x:v>Simulated</x:v>
      </x:c>
    </x:row>
    <x:row r="133" ht="22" customHeight="1">
      <x:c r="A133" s="2" t="str">
        <x:v>BK-TC-01007-007</x:v>
      </x:c>
      <x:c r="B133" s="2" t="str">
        <x:v>TC-01007</x:v>
      </x:c>
      <x:c r="C133" s="12" t="n">
        <x:v>46223</x:v>
      </x:c>
      <x:c r="D133" s="2" t="n">
        <x:v>1</x:v>
      </x:c>
      <x:c r="E133" s="2" t="str">
        <x:v>Online</x:v>
      </x:c>
      <x:c r="F133" s="14" t="n">
        <x:v>990</x:v>
      </x:c>
      <x:c r="G133" s="2" t="str">
        <x:v>Simulated</x:v>
      </x:c>
    </x:row>
    <x:row r="134" ht="22" customHeight="1">
      <x:c r="A134" s="2" t="str">
        <x:v>BK-TC-01007-008</x:v>
      </x:c>
      <x:c r="B134" s="2" t="str">
        <x:v>TC-01007</x:v>
      </x:c>
      <x:c r="C134" s="12" t="n">
        <x:v>46280</x:v>
      </x:c>
      <x:c r="D134" s="2" t="n">
        <x:v>1</x:v>
      </x:c>
      <x:c r="E134" s="2" t="str">
        <x:v>Retail</x:v>
      </x:c>
      <x:c r="F134" s="14" t="n">
        <x:v>990</x:v>
      </x:c>
      <x:c r="G134" s="2" t="str">
        <x:v>Simulated</x:v>
      </x:c>
    </x:row>
    <x:row r="135" ht="22" customHeight="1">
      <x:c r="A135" s="2" t="str">
        <x:v>BK-TC-01007-009</x:v>
      </x:c>
      <x:c r="B135" s="2" t="str">
        <x:v>TC-01007</x:v>
      </x:c>
      <x:c r="C135" s="12" t="n">
        <x:v>46245</x:v>
      </x:c>
      <x:c r="D135" s="2" t="n">
        <x:v>1</x:v>
      </x:c>
      <x:c r="E135" s="2" t="str">
        <x:v>Retail</x:v>
      </x:c>
      <x:c r="F135" s="14" t="n">
        <x:v>990</x:v>
      </x:c>
      <x:c r="G135" s="2" t="str">
        <x:v>Simulated</x:v>
      </x:c>
    </x:row>
    <x:row r="136" ht="22" customHeight="1">
      <x:c r="A136" s="2" t="str">
        <x:v>BK-TC-01007-010</x:v>
      </x:c>
      <x:c r="B136" s="2" t="str">
        <x:v>TC-01007</x:v>
      </x:c>
      <x:c r="C136" s="12" t="n">
        <x:v>46301</x:v>
      </x:c>
      <x:c r="D136" s="2" t="n">
        <x:v>1</x:v>
      </x:c>
      <x:c r="E136" s="2" t="str">
        <x:v>Online</x:v>
      </x:c>
      <x:c r="F136" s="14" t="n">
        <x:v>990</x:v>
      </x:c>
      <x:c r="G136" s="2" t="str">
        <x:v>Simulated</x:v>
      </x:c>
    </x:row>
    <x:row r="137" ht="22" customHeight="1">
      <x:c r="A137" s="2" t="str">
        <x:v>BK-TC-01007-011</x:v>
      </x:c>
      <x:c r="B137" s="2" t="str">
        <x:v>TC-01007</x:v>
      </x:c>
      <x:c r="C137" s="12" t="n">
        <x:v>46303</x:v>
      </x:c>
      <x:c r="D137" s="2" t="n">
        <x:v>1</x:v>
      </x:c>
      <x:c r="E137" s="2" t="str">
        <x:v>Trade</x:v>
      </x:c>
      <x:c r="F137" s="14" t="n">
        <x:v>990</x:v>
      </x:c>
      <x:c r="G137" s="2" t="str">
        <x:v>Simulated</x:v>
      </x:c>
    </x:row>
    <x:row r="138" ht="22" customHeight="1">
      <x:c r="A138" s="2" t="str">
        <x:v>BK-TC-01007-012</x:v>
      </x:c>
      <x:c r="B138" s="2" t="str">
        <x:v>TC-01007</x:v>
      </x:c>
      <x:c r="C138" s="12" t="n">
        <x:v>46224</x:v>
      </x:c>
      <x:c r="D138" s="2" t="n">
        <x:v>1</x:v>
      </x:c>
      <x:c r="E138" s="2" t="str">
        <x:v>Retail</x:v>
      </x:c>
      <x:c r="F138" s="14" t="n">
        <x:v>990</x:v>
      </x:c>
      <x:c r="G138" s="2" t="str">
        <x:v>Simulated</x:v>
      </x:c>
    </x:row>
    <x:row r="139" ht="22" customHeight="1">
      <x:c r="A139" s="2" t="str">
        <x:v>BK-TC-01007-013</x:v>
      </x:c>
      <x:c r="B139" s="2" t="str">
        <x:v>TC-01007</x:v>
      </x:c>
      <x:c r="C139" s="12" t="n">
        <x:v>46255</x:v>
      </x:c>
      <x:c r="D139" s="2" t="n">
        <x:v>1</x:v>
      </x:c>
      <x:c r="E139" s="2" t="str">
        <x:v>Retail</x:v>
      </x:c>
      <x:c r="F139" s="14" t="n">
        <x:v>990</x:v>
      </x:c>
      <x:c r="G139" s="2" t="str">
        <x:v>Simulated</x:v>
      </x:c>
    </x:row>
    <x:row r="140" ht="22" customHeight="1">
      <x:c r="A140" s="2" t="str">
        <x:v>BK-TC-01008-001</x:v>
      </x:c>
      <x:c r="B140" s="2" t="str">
        <x:v>TC-01008</x:v>
      </x:c>
      <x:c r="C140" s="12" t="n">
        <x:v>46304</x:v>
      </x:c>
      <x:c r="D140" s="2" t="n">
        <x:v>1</x:v>
      </x:c>
      <x:c r="E140" s="2" t="str">
        <x:v>Online</x:v>
      </x:c>
      <x:c r="F140" s="14" t="n">
        <x:v>990</x:v>
      </x:c>
      <x:c r="G140" s="2" t="str">
        <x:v>Simulated</x:v>
      </x:c>
    </x:row>
    <x:row r="141" ht="22" customHeight="1">
      <x:c r="A141" s="2" t="str">
        <x:v>BK-TC-01008-002</x:v>
      </x:c>
      <x:c r="B141" s="2" t="str">
        <x:v>TC-01008</x:v>
      </x:c>
      <x:c r="C141" s="12" t="n">
        <x:v>46252</x:v>
      </x:c>
      <x:c r="D141" s="2" t="n">
        <x:v>1</x:v>
      </x:c>
      <x:c r="E141" s="2" t="str">
        <x:v>Trade</x:v>
      </x:c>
      <x:c r="F141" s="14" t="n">
        <x:v>990</x:v>
      </x:c>
      <x:c r="G141" s="2" t="str">
        <x:v>Simulated</x:v>
      </x:c>
    </x:row>
    <x:row r="142" ht="22" customHeight="1">
      <x:c r="A142" s="2" t="str">
        <x:v>BK-TC-01008-003</x:v>
      </x:c>
      <x:c r="B142" s="2" t="str">
        <x:v>TC-01008</x:v>
      </x:c>
      <x:c r="C142" s="12" t="n">
        <x:v>46240</x:v>
      </x:c>
      <x:c r="D142" s="2" t="n">
        <x:v>1</x:v>
      </x:c>
      <x:c r="E142" s="2" t="str">
        <x:v>Trade</x:v>
      </x:c>
      <x:c r="F142" s="14" t="n">
        <x:v>990</x:v>
      </x:c>
      <x:c r="G142" s="2" t="str">
        <x:v>Simulated</x:v>
      </x:c>
    </x:row>
    <x:row r="143" ht="22" customHeight="1">
      <x:c r="A143" s="2" t="str">
        <x:v>BK-TC-01008-004</x:v>
      </x:c>
      <x:c r="B143" s="2" t="str">
        <x:v>TC-01008</x:v>
      </x:c>
      <x:c r="C143" s="12" t="n">
        <x:v>46259</x:v>
      </x:c>
      <x:c r="D143" s="2" t="n">
        <x:v>1</x:v>
      </x:c>
      <x:c r="E143" s="2" t="str">
        <x:v>Retail</x:v>
      </x:c>
      <x:c r="F143" s="14" t="n">
        <x:v>990</x:v>
      </x:c>
      <x:c r="G143" s="2" t="str">
        <x:v>Simulated</x:v>
      </x:c>
    </x:row>
    <x:row r="144" ht="22" customHeight="1">
      <x:c r="A144" s="2" t="str">
        <x:v>BK-TC-01008-005</x:v>
      </x:c>
      <x:c r="B144" s="2" t="str">
        <x:v>TC-01008</x:v>
      </x:c>
      <x:c r="C144" s="12" t="n">
        <x:v>46285</x:v>
      </x:c>
      <x:c r="D144" s="2" t="n">
        <x:v>1</x:v>
      </x:c>
      <x:c r="E144" s="2" t="str">
        <x:v>Trade</x:v>
      </x:c>
      <x:c r="F144" s="14" t="n">
        <x:v>990</x:v>
      </x:c>
      <x:c r="G144" s="2" t="str">
        <x:v>Simulated</x:v>
      </x:c>
    </x:row>
    <x:row r="145" ht="22" customHeight="1">
      <x:c r="A145" s="2" t="str">
        <x:v>BK-TC-01008-006</x:v>
      </x:c>
      <x:c r="B145" s="2" t="str">
        <x:v>TC-01008</x:v>
      </x:c>
      <x:c r="C145" s="12" t="n">
        <x:v>46234</x:v>
      </x:c>
      <x:c r="D145" s="2" t="n">
        <x:v>1</x:v>
      </x:c>
      <x:c r="E145" s="2" t="str">
        <x:v>Trade</x:v>
      </x:c>
      <x:c r="F145" s="14" t="n">
        <x:v>990</x:v>
      </x:c>
      <x:c r="G145" s="2" t="str">
        <x:v>Simulated</x:v>
      </x:c>
    </x:row>
    <x:row r="146" ht="22" customHeight="1">
      <x:c r="A146" s="2" t="str">
        <x:v>BK-TC-01008-007</x:v>
      </x:c>
      <x:c r="B146" s="2" t="str">
        <x:v>TC-01008</x:v>
      </x:c>
      <x:c r="C146" s="12" t="n">
        <x:v>46250</x:v>
      </x:c>
      <x:c r="D146" s="2" t="n">
        <x:v>1</x:v>
      </x:c>
      <x:c r="E146" s="2" t="str">
        <x:v>Trade</x:v>
      </x:c>
      <x:c r="F146" s="14" t="n">
        <x:v>990</x:v>
      </x:c>
      <x:c r="G146" s="2" t="str">
        <x:v>Simulated</x:v>
      </x:c>
    </x:row>
    <x:row r="147" ht="22" customHeight="1">
      <x:c r="A147" s="2" t="str">
        <x:v>BK-TC-01008-008</x:v>
      </x:c>
      <x:c r="B147" s="2" t="str">
        <x:v>TC-01008</x:v>
      </x:c>
      <x:c r="C147" s="12" t="n">
        <x:v>46300</x:v>
      </x:c>
      <x:c r="D147" s="2" t="n">
        <x:v>1</x:v>
      </x:c>
      <x:c r="E147" s="2" t="str">
        <x:v>Trade</x:v>
      </x:c>
      <x:c r="F147" s="14" t="n">
        <x:v>990</x:v>
      </x:c>
      <x:c r="G147" s="2" t="str">
        <x:v>Simulated</x:v>
      </x:c>
    </x:row>
    <x:row r="148" ht="22" customHeight="1">
      <x:c r="A148" s="2" t="str">
        <x:v>BK-TC-01008-009</x:v>
      </x:c>
      <x:c r="B148" s="2" t="str">
        <x:v>TC-01008</x:v>
      </x:c>
      <x:c r="C148" s="12" t="n">
        <x:v>46280</x:v>
      </x:c>
      <x:c r="D148" s="2" t="n">
        <x:v>1</x:v>
      </x:c>
      <x:c r="E148" s="2" t="str">
        <x:v>Trade</x:v>
      </x:c>
      <x:c r="F148" s="14" t="n">
        <x:v>990</x:v>
      </x:c>
      <x:c r="G148" s="2" t="str">
        <x:v>Simulated</x:v>
      </x:c>
    </x:row>
    <x:row r="149" ht="22" customHeight="1">
      <x:c r="A149" s="2" t="str">
        <x:v>BK-TC-01008-010</x:v>
      </x:c>
      <x:c r="B149" s="2" t="str">
        <x:v>TC-01008</x:v>
      </x:c>
      <x:c r="C149" s="12" t="n">
        <x:v>46262</x:v>
      </x:c>
      <x:c r="D149" s="2" t="n">
        <x:v>1</x:v>
      </x:c>
      <x:c r="E149" s="2" t="str">
        <x:v>Trade</x:v>
      </x:c>
      <x:c r="F149" s="14" t="n">
        <x:v>990</x:v>
      </x:c>
      <x:c r="G149" s="2" t="str">
        <x:v>Simulated</x:v>
      </x:c>
    </x:row>
    <x:row r="150" ht="22" customHeight="1">
      <x:c r="A150" s="2" t="str">
        <x:v>BK-TC-01008-011</x:v>
      </x:c>
      <x:c r="B150" s="2" t="str">
        <x:v>TC-01008</x:v>
      </x:c>
      <x:c r="C150" s="12" t="n">
        <x:v>46242</x:v>
      </x:c>
      <x:c r="D150" s="2" t="n">
        <x:v>1</x:v>
      </x:c>
      <x:c r="E150" s="2" t="str">
        <x:v>Trade</x:v>
      </x:c>
      <x:c r="F150" s="14" t="n">
        <x:v>990</x:v>
      </x:c>
      <x:c r="G150" s="2" t="str">
        <x:v>Simulated</x:v>
      </x:c>
    </x:row>
    <x:row r="151" ht="22" customHeight="1">
      <x:c r="A151" s="2" t="str">
        <x:v>BK-TC-02001-001</x:v>
      </x:c>
      <x:c r="B151" s="2" t="str">
        <x:v>TC-02001</x:v>
      </x:c>
      <x:c r="C151" s="12" t="n">
        <x:v>46156</x:v>
      </x:c>
      <x:c r="D151" s="2" t="n">
        <x:v>1</x:v>
      </x:c>
      <x:c r="E151" s="2" t="str">
        <x:v>Retail</x:v>
      </x:c>
      <x:c r="F151" s="14" t="n">
        <x:v>1870</x:v>
      </x:c>
      <x:c r="G151" s="2" t="str">
        <x:v>Simulated</x:v>
      </x:c>
    </x:row>
    <x:row r="152" ht="22" customHeight="1">
      <x:c r="A152" s="2" t="str">
        <x:v>BK-TC-02001-002</x:v>
      </x:c>
      <x:c r="B152" s="2" t="str">
        <x:v>TC-02001</x:v>
      </x:c>
      <x:c r="C152" s="12" t="n">
        <x:v>46228</x:v>
      </x:c>
      <x:c r="D152" s="2" t="n">
        <x:v>1</x:v>
      </x:c>
      <x:c r="E152" s="2" t="str">
        <x:v>Trade</x:v>
      </x:c>
      <x:c r="F152" s="14" t="n">
        <x:v>1870</x:v>
      </x:c>
      <x:c r="G152" s="2" t="str">
        <x:v>Simulated</x:v>
      </x:c>
    </x:row>
    <x:row r="153" ht="22" customHeight="1">
      <x:c r="A153" s="2" t="str">
        <x:v>BK-TC-02001-003</x:v>
      </x:c>
      <x:c r="B153" s="2" t="str">
        <x:v>TC-02001</x:v>
      </x:c>
      <x:c r="C153" s="12" t="n">
        <x:v>46173</x:v>
      </x:c>
      <x:c r="D153" s="2" t="n">
        <x:v>1</x:v>
      </x:c>
      <x:c r="E153" s="2" t="str">
        <x:v>Retail</x:v>
      </x:c>
      <x:c r="F153" s="14" t="n">
        <x:v>1870</x:v>
      </x:c>
      <x:c r="G153" s="2" t="str">
        <x:v>Simulated</x:v>
      </x:c>
    </x:row>
    <x:row r="154" ht="22" customHeight="1">
      <x:c r="A154" s="2" t="str">
        <x:v>BK-TC-02001-004</x:v>
      </x:c>
      <x:c r="B154" s="2" t="str">
        <x:v>TC-02001</x:v>
      </x:c>
      <x:c r="C154" s="12" t="n">
        <x:v>46200</x:v>
      </x:c>
      <x:c r="D154" s="2" t="n">
        <x:v>1</x:v>
      </x:c>
      <x:c r="E154" s="2" t="str">
        <x:v>Trade</x:v>
      </x:c>
      <x:c r="F154" s="14" t="n">
        <x:v>1870</x:v>
      </x:c>
      <x:c r="G154" s="2" t="str">
        <x:v>Simulated</x:v>
      </x:c>
    </x:row>
    <x:row r="155" ht="22" customHeight="1">
      <x:c r="A155" s="2" t="str">
        <x:v>BK-TC-02001-005</x:v>
      </x:c>
      <x:c r="B155" s="2" t="str">
        <x:v>TC-02001</x:v>
      </x:c>
      <x:c r="C155" s="12" t="n">
        <x:v>46195</x:v>
      </x:c>
      <x:c r="D155" s="2" t="n">
        <x:v>1</x:v>
      </x:c>
      <x:c r="E155" s="2" t="str">
        <x:v>Retail</x:v>
      </x:c>
      <x:c r="F155" s="14" t="n">
        <x:v>1870</x:v>
      </x:c>
      <x:c r="G155" s="2" t="str">
        <x:v>Simulated</x:v>
      </x:c>
    </x:row>
    <x:row r="156" ht="22" customHeight="1">
      <x:c r="A156" s="2" t="str">
        <x:v>BK-TC-02001-006</x:v>
      </x:c>
      <x:c r="B156" s="2" t="str">
        <x:v>TC-02001</x:v>
      </x:c>
      <x:c r="C156" s="12" t="n">
        <x:v>46300</x:v>
      </x:c>
      <x:c r="D156" s="2" t="n">
        <x:v>1</x:v>
      </x:c>
      <x:c r="E156" s="2" t="str">
        <x:v>Trade</x:v>
      </x:c>
      <x:c r="F156" s="14" t="n">
        <x:v>1870</x:v>
      </x:c>
      <x:c r="G156" s="2" t="str">
        <x:v>Simulated</x:v>
      </x:c>
    </x:row>
    <x:row r="157" ht="22" customHeight="1">
      <x:c r="A157" s="2" t="str">
        <x:v>BK-TC-02001-007</x:v>
      </x:c>
      <x:c r="B157" s="2" t="str">
        <x:v>TC-02001</x:v>
      </x:c>
      <x:c r="C157" s="12" t="n">
        <x:v>46249</x:v>
      </x:c>
      <x:c r="D157" s="2" t="n">
        <x:v>1</x:v>
      </x:c>
      <x:c r="E157" s="2" t="str">
        <x:v>Retail</x:v>
      </x:c>
      <x:c r="F157" s="14" t="n">
        <x:v>1870</x:v>
      </x:c>
      <x:c r="G157" s="2" t="str">
        <x:v>Simulated</x:v>
      </x:c>
    </x:row>
    <x:row r="158" ht="22" customHeight="1">
      <x:c r="A158" s="2" t="str">
        <x:v>BK-TC-02001-008</x:v>
      </x:c>
      <x:c r="B158" s="2" t="str">
        <x:v>TC-02001</x:v>
      </x:c>
      <x:c r="C158" s="12" t="n">
        <x:v>46130</x:v>
      </x:c>
      <x:c r="D158" s="2" t="n">
        <x:v>1</x:v>
      </x:c>
      <x:c r="E158" s="2" t="str">
        <x:v>Online</x:v>
      </x:c>
      <x:c r="F158" s="14" t="n">
        <x:v>1870</x:v>
      </x:c>
      <x:c r="G158" s="2" t="str">
        <x:v>Simulated</x:v>
      </x:c>
    </x:row>
    <x:row r="159" ht="22" customHeight="1">
      <x:c r="A159" s="2" t="str">
        <x:v>BK-TC-02001-009</x:v>
      </x:c>
      <x:c r="B159" s="2" t="str">
        <x:v>TC-02001</x:v>
      </x:c>
      <x:c r="C159" s="12" t="n">
        <x:v>46289</x:v>
      </x:c>
      <x:c r="D159" s="2" t="n">
        <x:v>1</x:v>
      </x:c>
      <x:c r="E159" s="2" t="str">
        <x:v>Trade</x:v>
      </x:c>
      <x:c r="F159" s="14" t="n">
        <x:v>1870</x:v>
      </x:c>
      <x:c r="G159" s="2" t="str">
        <x:v>Simulated</x:v>
      </x:c>
    </x:row>
    <x:row r="160" ht="22" customHeight="1">
      <x:c r="A160" s="2" t="str">
        <x:v>BK-TC-02001-010</x:v>
      </x:c>
      <x:c r="B160" s="2" t="str">
        <x:v>TC-02001</x:v>
      </x:c>
      <x:c r="C160" s="12" t="n">
        <x:v>46163</x:v>
      </x:c>
      <x:c r="D160" s="2" t="n">
        <x:v>1</x:v>
      </x:c>
      <x:c r="E160" s="2" t="str">
        <x:v>Online</x:v>
      </x:c>
      <x:c r="F160" s="14" t="n">
        <x:v>1870</x:v>
      </x:c>
      <x:c r="G160" s="2" t="str">
        <x:v>Simulated</x:v>
      </x:c>
    </x:row>
    <x:row r="161" ht="22" customHeight="1">
      <x:c r="A161" s="2" t="str">
        <x:v>BK-TC-02001-011</x:v>
      </x:c>
      <x:c r="B161" s="2" t="str">
        <x:v>TC-02001</x:v>
      </x:c>
      <x:c r="C161" s="12" t="n">
        <x:v>46195</x:v>
      </x:c>
      <x:c r="D161" s="2" t="n">
        <x:v>1</x:v>
      </x:c>
      <x:c r="E161" s="2" t="str">
        <x:v>Online</x:v>
      </x:c>
      <x:c r="F161" s="14" t="n">
        <x:v>1870</x:v>
      </x:c>
      <x:c r="G161" s="2" t="str">
        <x:v>Simulated</x:v>
      </x:c>
    </x:row>
    <x:row r="162" ht="22" customHeight="1">
      <x:c r="A162" s="2" t="str">
        <x:v>BK-TC-02001-012</x:v>
      </x:c>
      <x:c r="B162" s="2" t="str">
        <x:v>TC-02001</x:v>
      </x:c>
      <x:c r="C162" s="12" t="n">
        <x:v>46148</x:v>
      </x:c>
      <x:c r="D162" s="2" t="n">
        <x:v>1</x:v>
      </x:c>
      <x:c r="E162" s="2" t="str">
        <x:v>Online</x:v>
      </x:c>
      <x:c r="F162" s="14" t="n">
        <x:v>1870</x:v>
      </x:c>
      <x:c r="G162" s="2" t="str">
        <x:v>Simulated</x:v>
      </x:c>
    </x:row>
    <x:row r="163" ht="22" customHeight="1">
      <x:c r="A163" s="2" t="str">
        <x:v>BK-TC-02001-013</x:v>
      </x:c>
      <x:c r="B163" s="2" t="str">
        <x:v>TC-02001</x:v>
      </x:c>
      <x:c r="C163" s="12" t="n">
        <x:v>46294</x:v>
      </x:c>
      <x:c r="D163" s="2" t="n">
        <x:v>1</x:v>
      </x:c>
      <x:c r="E163" s="2" t="str">
        <x:v>Online</x:v>
      </x:c>
      <x:c r="F163" s="14" t="n">
        <x:v>1870</x:v>
      </x:c>
      <x:c r="G163" s="2" t="str">
        <x:v>Simulated</x:v>
      </x:c>
    </x:row>
    <x:row r="164" ht="22" customHeight="1">
      <x:c r="A164" s="2" t="str">
        <x:v>BK-TC-02001-014</x:v>
      </x:c>
      <x:c r="B164" s="2" t="str">
        <x:v>TC-02001</x:v>
      </x:c>
      <x:c r="C164" s="12" t="n">
        <x:v>46273</x:v>
      </x:c>
      <x:c r="D164" s="2" t="n">
        <x:v>1</x:v>
      </x:c>
      <x:c r="E164" s="2" t="str">
        <x:v>Online</x:v>
      </x:c>
      <x:c r="F164" s="14" t="n">
        <x:v>1870</x:v>
      </x:c>
      <x:c r="G164" s="2" t="str">
        <x:v>Simulated</x:v>
      </x:c>
    </x:row>
    <x:row r="165" ht="22" customHeight="1">
      <x:c r="A165" s="2" t="str">
        <x:v>BK-TC-02001-015</x:v>
      </x:c>
      <x:c r="B165" s="2" t="str">
        <x:v>TC-02001</x:v>
      </x:c>
      <x:c r="C165" s="12" t="n">
        <x:v>46241</x:v>
      </x:c>
      <x:c r="D165" s="2" t="n">
        <x:v>1</x:v>
      </x:c>
      <x:c r="E165" s="2" t="str">
        <x:v>Retail</x:v>
      </x:c>
      <x:c r="F165" s="14" t="n">
        <x:v>1870</x:v>
      </x:c>
      <x:c r="G165" s="2" t="str">
        <x:v>Simulated</x:v>
      </x:c>
    </x:row>
    <x:row r="166" ht="22" customHeight="1">
      <x:c r="A166" s="2" t="str">
        <x:v>BK-TC-02001-016</x:v>
      </x:c>
      <x:c r="B166" s="2" t="str">
        <x:v>TC-02001</x:v>
      </x:c>
      <x:c r="C166" s="12" t="n">
        <x:v>46168</x:v>
      </x:c>
      <x:c r="D166" s="2" t="n">
        <x:v>1</x:v>
      </x:c>
      <x:c r="E166" s="2" t="str">
        <x:v>Retail</x:v>
      </x:c>
      <x:c r="F166" s="14" t="n">
        <x:v>1870</x:v>
      </x:c>
      <x:c r="G166" s="2" t="str">
        <x:v>Simulated</x:v>
      </x:c>
    </x:row>
    <x:row r="167" ht="22" customHeight="1">
      <x:c r="A167" s="2" t="str">
        <x:v>BK-TC-02001-017</x:v>
      </x:c>
      <x:c r="B167" s="2" t="str">
        <x:v>TC-02001</x:v>
      </x:c>
      <x:c r="C167" s="12" t="n">
        <x:v>46213</x:v>
      </x:c>
      <x:c r="D167" s="2" t="n">
        <x:v>1</x:v>
      </x:c>
      <x:c r="E167" s="2" t="str">
        <x:v>Online</x:v>
      </x:c>
      <x:c r="F167" s="14" t="n">
        <x:v>1870</x:v>
      </x:c>
      <x:c r="G167" s="2" t="str">
        <x:v>Simulated</x:v>
      </x:c>
    </x:row>
    <x:row r="168" ht="22" customHeight="1">
      <x:c r="A168" s="2" t="str">
        <x:v>BK-TC-02001-018</x:v>
      </x:c>
      <x:c r="B168" s="2" t="str">
        <x:v>TC-02001</x:v>
      </x:c>
      <x:c r="C168" s="12" t="n">
        <x:v>46155</x:v>
      </x:c>
      <x:c r="D168" s="2" t="n">
        <x:v>1</x:v>
      </x:c>
      <x:c r="E168" s="2" t="str">
        <x:v>Retail</x:v>
      </x:c>
      <x:c r="F168" s="14" t="n">
        <x:v>1870</x:v>
      </x:c>
      <x:c r="G168" s="2" t="str">
        <x:v>Simulated</x:v>
      </x:c>
    </x:row>
    <x:row r="169" ht="22" customHeight="1">
      <x:c r="A169" s="2" t="str">
        <x:v>BK-TC-02001-019</x:v>
      </x:c>
      <x:c r="B169" s="2" t="str">
        <x:v>TC-02001</x:v>
      </x:c>
      <x:c r="C169" s="12" t="n">
        <x:v>46268</x:v>
      </x:c>
      <x:c r="D169" s="2" t="n">
        <x:v>1</x:v>
      </x:c>
      <x:c r="E169" s="2" t="str">
        <x:v>Trade</x:v>
      </x:c>
      <x:c r="F169" s="14" t="n">
        <x:v>1870</x:v>
      </x:c>
      <x:c r="G169" s="2" t="str">
        <x:v>Simulated</x:v>
      </x:c>
    </x:row>
    <x:row r="170" ht="22" customHeight="1">
      <x:c r="A170" s="2" t="str">
        <x:v>BK-TC-02001-020</x:v>
      </x:c>
      <x:c r="B170" s="2" t="str">
        <x:v>TC-02001</x:v>
      </x:c>
      <x:c r="C170" s="12" t="n">
        <x:v>46272</x:v>
      </x:c>
      <x:c r="D170" s="2" t="n">
        <x:v>1</x:v>
      </x:c>
      <x:c r="E170" s="2" t="str">
        <x:v>Trade</x:v>
      </x:c>
      <x:c r="F170" s="14" t="n">
        <x:v>1870</x:v>
      </x:c>
      <x:c r="G170" s="2" t="str">
        <x:v>Simulated</x:v>
      </x:c>
    </x:row>
    <x:row r="171" ht="22" customHeight="1">
      <x:c r="A171" s="2" t="str">
        <x:v>BK-TC-02001-021</x:v>
      </x:c>
      <x:c r="B171" s="2" t="str">
        <x:v>TC-02001</x:v>
      </x:c>
      <x:c r="C171" s="12" t="n">
        <x:v>46275</x:v>
      </x:c>
      <x:c r="D171" s="2" t="n">
        <x:v>1</x:v>
      </x:c>
      <x:c r="E171" s="2" t="str">
        <x:v>Trade</x:v>
      </x:c>
      <x:c r="F171" s="14" t="n">
        <x:v>1870</x:v>
      </x:c>
      <x:c r="G171" s="2" t="str">
        <x:v>Simulated</x:v>
      </x:c>
    </x:row>
    <x:row r="172" ht="22" customHeight="1">
      <x:c r="A172" s="2" t="str">
        <x:v>BK-TC-02001-022</x:v>
      </x:c>
      <x:c r="B172" s="2" t="str">
        <x:v>TC-02001</x:v>
      </x:c>
      <x:c r="C172" s="12" t="n">
        <x:v>46261</x:v>
      </x:c>
      <x:c r="D172" s="2" t="n">
        <x:v>1</x:v>
      </x:c>
      <x:c r="E172" s="2" t="str">
        <x:v>Retail</x:v>
      </x:c>
      <x:c r="F172" s="14" t="n">
        <x:v>1870</x:v>
      </x:c>
      <x:c r="G172" s="2" t="str">
        <x:v>Simulated</x:v>
      </x:c>
    </x:row>
    <x:row r="173" ht="22" customHeight="1">
      <x:c r="A173" s="2" t="str">
        <x:v>BK-TC-02001-023</x:v>
      </x:c>
      <x:c r="B173" s="2" t="str">
        <x:v>TC-02001</x:v>
      </x:c>
      <x:c r="C173" s="12" t="n">
        <x:v>46150</x:v>
      </x:c>
      <x:c r="D173" s="2" t="n">
        <x:v>1</x:v>
      </x:c>
      <x:c r="E173" s="2" t="str">
        <x:v>Trade</x:v>
      </x:c>
      <x:c r="F173" s="14" t="n">
        <x:v>1870</x:v>
      </x:c>
      <x:c r="G173" s="2" t="str">
        <x:v>Simulated</x:v>
      </x:c>
    </x:row>
    <x:row r="174" ht="22" customHeight="1">
      <x:c r="A174" s="2" t="str">
        <x:v>BK-TC-02001-024</x:v>
      </x:c>
      <x:c r="B174" s="2" t="str">
        <x:v>TC-02001</x:v>
      </x:c>
      <x:c r="C174" s="12" t="n">
        <x:v>46158</x:v>
      </x:c>
      <x:c r="D174" s="2" t="n">
        <x:v>1</x:v>
      </x:c>
      <x:c r="E174" s="2" t="str">
        <x:v>Online</x:v>
      </x:c>
      <x:c r="F174" s="14" t="n">
        <x:v>1870</x:v>
      </x:c>
      <x:c r="G174" s="2" t="str">
        <x:v>Simulated</x:v>
      </x:c>
    </x:row>
    <x:row r="175" ht="22" customHeight="1">
      <x:c r="A175" s="2" t="str">
        <x:v>BK-TC-02001-025</x:v>
      </x:c>
      <x:c r="B175" s="2" t="str">
        <x:v>TC-02001</x:v>
      </x:c>
      <x:c r="C175" s="12" t="n">
        <x:v>46253</x:v>
      </x:c>
      <x:c r="D175" s="2" t="n">
        <x:v>1</x:v>
      </x:c>
      <x:c r="E175" s="2" t="str">
        <x:v>Retail</x:v>
      </x:c>
      <x:c r="F175" s="14" t="n">
        <x:v>1870</x:v>
      </x:c>
      <x:c r="G175" s="2" t="str">
        <x:v>Simulated</x:v>
      </x:c>
    </x:row>
    <x:row r="176" ht="22" customHeight="1">
      <x:c r="A176" s="2" t="str">
        <x:v>BK-TC-02001-026</x:v>
      </x:c>
      <x:c r="B176" s="2" t="str">
        <x:v>TC-02001</x:v>
      </x:c>
      <x:c r="C176" s="12" t="n">
        <x:v>46241</x:v>
      </x:c>
      <x:c r="D176" s="2" t="n">
        <x:v>1</x:v>
      </x:c>
      <x:c r="E176" s="2" t="str">
        <x:v>Trade</x:v>
      </x:c>
      <x:c r="F176" s="14" t="n">
        <x:v>1870</x:v>
      </x:c>
      <x:c r="G176" s="2" t="str">
        <x:v>Simulated</x:v>
      </x:c>
    </x:row>
    <x:row r="177" ht="22" customHeight="1">
      <x:c r="A177" s="2" t="str">
        <x:v>BK-TC-02001-027</x:v>
      </x:c>
      <x:c r="B177" s="2" t="str">
        <x:v>TC-02001</x:v>
      </x:c>
      <x:c r="C177" s="12" t="n">
        <x:v>46204</x:v>
      </x:c>
      <x:c r="D177" s="2" t="n">
        <x:v>1</x:v>
      </x:c>
      <x:c r="E177" s="2" t="str">
        <x:v>Trade</x:v>
      </x:c>
      <x:c r="F177" s="14" t="n">
        <x:v>1870</x:v>
      </x:c>
      <x:c r="G177" s="2" t="str">
        <x:v>Simulated</x:v>
      </x:c>
    </x:row>
    <x:row r="178" ht="22" customHeight="1">
      <x:c r="A178" s="2" t="str">
        <x:v>BK-TC-02002-001</x:v>
      </x:c>
      <x:c r="B178" s="2" t="str">
        <x:v>TC-02002</x:v>
      </x:c>
      <x:c r="C178" s="12" t="n">
        <x:v>46186</x:v>
      </x:c>
      <x:c r="D178" s="2" t="n">
        <x:v>1</x:v>
      </x:c>
      <x:c r="E178" s="2" t="str">
        <x:v>Online</x:v>
      </x:c>
      <x:c r="F178" s="14" t="n">
        <x:v>1870</x:v>
      </x:c>
      <x:c r="G178" s="2" t="str">
        <x:v>Simulated</x:v>
      </x:c>
    </x:row>
    <x:row r="179" ht="22" customHeight="1">
      <x:c r="A179" s="2" t="str">
        <x:v>BK-TC-02002-002</x:v>
      </x:c>
      <x:c r="B179" s="2" t="str">
        <x:v>TC-02002</x:v>
      </x:c>
      <x:c r="C179" s="12" t="n">
        <x:v>46234</x:v>
      </x:c>
      <x:c r="D179" s="2" t="n">
        <x:v>1</x:v>
      </x:c>
      <x:c r="E179" s="2" t="str">
        <x:v>Online</x:v>
      </x:c>
      <x:c r="F179" s="14" t="n">
        <x:v>1870</x:v>
      </x:c>
      <x:c r="G179" s="2" t="str">
        <x:v>Simulated</x:v>
      </x:c>
    </x:row>
    <x:row r="180" ht="22" customHeight="1">
      <x:c r="A180" s="2" t="str">
        <x:v>BK-TC-02002-003</x:v>
      </x:c>
      <x:c r="B180" s="2" t="str">
        <x:v>TC-02002</x:v>
      </x:c>
      <x:c r="C180" s="12" t="n">
        <x:v>46232</x:v>
      </x:c>
      <x:c r="D180" s="2" t="n">
        <x:v>1</x:v>
      </x:c>
      <x:c r="E180" s="2" t="str">
        <x:v>Trade</x:v>
      </x:c>
      <x:c r="F180" s="14" t="n">
        <x:v>1870</x:v>
      </x:c>
      <x:c r="G180" s="2" t="str">
        <x:v>Simulated</x:v>
      </x:c>
    </x:row>
    <x:row r="181" ht="22" customHeight="1">
      <x:c r="A181" s="2" t="str">
        <x:v>BK-TC-02002-004</x:v>
      </x:c>
      <x:c r="B181" s="2" t="str">
        <x:v>TC-02002</x:v>
      </x:c>
      <x:c r="C181" s="12" t="n">
        <x:v>46145</x:v>
      </x:c>
      <x:c r="D181" s="2" t="n">
        <x:v>1</x:v>
      </x:c>
      <x:c r="E181" s="2" t="str">
        <x:v>Retail</x:v>
      </x:c>
      <x:c r="F181" s="14" t="n">
        <x:v>1870</x:v>
      </x:c>
      <x:c r="G181" s="2" t="str">
        <x:v>Simulated</x:v>
      </x:c>
    </x:row>
    <x:row r="182" ht="22" customHeight="1">
      <x:c r="A182" s="2" t="str">
        <x:v>BK-TC-02002-005</x:v>
      </x:c>
      <x:c r="B182" s="2" t="str">
        <x:v>TC-02002</x:v>
      </x:c>
      <x:c r="C182" s="12" t="n">
        <x:v>46300</x:v>
      </x:c>
      <x:c r="D182" s="2" t="n">
        <x:v>1</x:v>
      </x:c>
      <x:c r="E182" s="2" t="str">
        <x:v>Online</x:v>
      </x:c>
      <x:c r="F182" s="14" t="n">
        <x:v>1870</x:v>
      </x:c>
      <x:c r="G182" s="2" t="str">
        <x:v>Simulated</x:v>
      </x:c>
    </x:row>
    <x:row r="183" ht="22" customHeight="1">
      <x:c r="A183" s="2" t="str">
        <x:v>BK-TC-02002-006</x:v>
      </x:c>
      <x:c r="B183" s="2" t="str">
        <x:v>TC-02002</x:v>
      </x:c>
      <x:c r="C183" s="12" t="n">
        <x:v>46137</x:v>
      </x:c>
      <x:c r="D183" s="2" t="n">
        <x:v>1</x:v>
      </x:c>
      <x:c r="E183" s="2" t="str">
        <x:v>Online</x:v>
      </x:c>
      <x:c r="F183" s="14" t="n">
        <x:v>1870</x:v>
      </x:c>
      <x:c r="G183" s="2" t="str">
        <x:v>Simulated</x:v>
      </x:c>
    </x:row>
    <x:row r="184" ht="22" customHeight="1">
      <x:c r="A184" s="2" t="str">
        <x:v>BK-TC-02002-007</x:v>
      </x:c>
      <x:c r="B184" s="2" t="str">
        <x:v>TC-02002</x:v>
      </x:c>
      <x:c r="C184" s="12" t="n">
        <x:v>46167</x:v>
      </x:c>
      <x:c r="D184" s="2" t="n">
        <x:v>1</x:v>
      </x:c>
      <x:c r="E184" s="2" t="str">
        <x:v>Trade</x:v>
      </x:c>
      <x:c r="F184" s="14" t="n">
        <x:v>1870</x:v>
      </x:c>
      <x:c r="G184" s="2" t="str">
        <x:v>Simulated</x:v>
      </x:c>
    </x:row>
    <x:row r="185" ht="22" customHeight="1">
      <x:c r="A185" s="2" t="str">
        <x:v>BK-TC-02002-008</x:v>
      </x:c>
      <x:c r="B185" s="2" t="str">
        <x:v>TC-02002</x:v>
      </x:c>
      <x:c r="C185" s="12" t="n">
        <x:v>46142</x:v>
      </x:c>
      <x:c r="D185" s="2" t="n">
        <x:v>1</x:v>
      </x:c>
      <x:c r="E185" s="2" t="str">
        <x:v>Retail</x:v>
      </x:c>
      <x:c r="F185" s="14" t="n">
        <x:v>1870</x:v>
      </x:c>
      <x:c r="G185" s="2" t="str">
        <x:v>Simulated</x:v>
      </x:c>
    </x:row>
    <x:row r="186" ht="22" customHeight="1">
      <x:c r="A186" s="2" t="str">
        <x:v>BK-TC-02002-009</x:v>
      </x:c>
      <x:c r="B186" s="2" t="str">
        <x:v>TC-02002</x:v>
      </x:c>
      <x:c r="C186" s="12" t="n">
        <x:v>46286</x:v>
      </x:c>
      <x:c r="D186" s="2" t="n">
        <x:v>1</x:v>
      </x:c>
      <x:c r="E186" s="2" t="str">
        <x:v>Online</x:v>
      </x:c>
      <x:c r="F186" s="14" t="n">
        <x:v>1870</x:v>
      </x:c>
      <x:c r="G186" s="2" t="str">
        <x:v>Simulated</x:v>
      </x:c>
    </x:row>
    <x:row r="187" ht="22" customHeight="1">
      <x:c r="A187" s="2" t="str">
        <x:v>BK-TC-02002-010</x:v>
      </x:c>
      <x:c r="B187" s="2" t="str">
        <x:v>TC-02002</x:v>
      </x:c>
      <x:c r="C187" s="12" t="n">
        <x:v>46229</x:v>
      </x:c>
      <x:c r="D187" s="2" t="n">
        <x:v>1</x:v>
      </x:c>
      <x:c r="E187" s="2" t="str">
        <x:v>Online</x:v>
      </x:c>
      <x:c r="F187" s="14" t="n">
        <x:v>1870</x:v>
      </x:c>
      <x:c r="G187" s="2" t="str">
        <x:v>Simulated</x:v>
      </x:c>
    </x:row>
    <x:row r="188" ht="22" customHeight="1">
      <x:c r="A188" s="2" t="str">
        <x:v>BK-TC-02002-011</x:v>
      </x:c>
      <x:c r="B188" s="2" t="str">
        <x:v>TC-02002</x:v>
      </x:c>
      <x:c r="C188" s="12" t="n">
        <x:v>46146</x:v>
      </x:c>
      <x:c r="D188" s="2" t="n">
        <x:v>1</x:v>
      </x:c>
      <x:c r="E188" s="2" t="str">
        <x:v>Online</x:v>
      </x:c>
      <x:c r="F188" s="14" t="n">
        <x:v>1870</x:v>
      </x:c>
      <x:c r="G188" s="2" t="str">
        <x:v>Simulated</x:v>
      </x:c>
    </x:row>
    <x:row r="189" ht="22" customHeight="1">
      <x:c r="A189" s="2" t="str">
        <x:v>BK-TC-02002-012</x:v>
      </x:c>
      <x:c r="B189" s="2" t="str">
        <x:v>TC-02002</x:v>
      </x:c>
      <x:c r="C189" s="12" t="n">
        <x:v>46148</x:v>
      </x:c>
      <x:c r="D189" s="2" t="n">
        <x:v>1</x:v>
      </x:c>
      <x:c r="E189" s="2" t="str">
        <x:v>Retail</x:v>
      </x:c>
      <x:c r="F189" s="14" t="n">
        <x:v>1870</x:v>
      </x:c>
      <x:c r="G189" s="2" t="str">
        <x:v>Simulated</x:v>
      </x:c>
    </x:row>
    <x:row r="190" ht="22" customHeight="1">
      <x:c r="A190" s="2" t="str">
        <x:v>BK-TC-02002-013</x:v>
      </x:c>
      <x:c r="B190" s="2" t="str">
        <x:v>TC-02002</x:v>
      </x:c>
      <x:c r="C190" s="12" t="n">
        <x:v>46149</x:v>
      </x:c>
      <x:c r="D190" s="2" t="n">
        <x:v>1</x:v>
      </x:c>
      <x:c r="E190" s="2" t="str">
        <x:v>Trade</x:v>
      </x:c>
      <x:c r="F190" s="14" t="n">
        <x:v>1870</x:v>
      </x:c>
      <x:c r="G190" s="2" t="str">
        <x:v>Simulated</x:v>
      </x:c>
    </x:row>
    <x:row r="191" ht="22" customHeight="1">
      <x:c r="A191" s="2" t="str">
        <x:v>BK-TC-02002-014</x:v>
      </x:c>
      <x:c r="B191" s="2" t="str">
        <x:v>TC-02002</x:v>
      </x:c>
      <x:c r="C191" s="12" t="n">
        <x:v>46282</x:v>
      </x:c>
      <x:c r="D191" s="2" t="n">
        <x:v>1</x:v>
      </x:c>
      <x:c r="E191" s="2" t="str">
        <x:v>Online</x:v>
      </x:c>
      <x:c r="F191" s="14" t="n">
        <x:v>1870</x:v>
      </x:c>
      <x:c r="G191" s="2" t="str">
        <x:v>Simulated</x:v>
      </x:c>
    </x:row>
    <x:row r="192" ht="22" customHeight="1">
      <x:c r="A192" s="2" t="str">
        <x:v>BK-TC-02002-015</x:v>
      </x:c>
      <x:c r="B192" s="2" t="str">
        <x:v>TC-02002</x:v>
      </x:c>
      <x:c r="C192" s="12" t="n">
        <x:v>46189</x:v>
      </x:c>
      <x:c r="D192" s="2" t="n">
        <x:v>1</x:v>
      </x:c>
      <x:c r="E192" s="2" t="str">
        <x:v>Online</x:v>
      </x:c>
      <x:c r="F192" s="14" t="n">
        <x:v>1870</x:v>
      </x:c>
      <x:c r="G192" s="2" t="str">
        <x:v>Simulated</x:v>
      </x:c>
    </x:row>
    <x:row r="193" ht="22" customHeight="1">
      <x:c r="A193" s="2" t="str">
        <x:v>BK-TC-02002-016</x:v>
      </x:c>
      <x:c r="B193" s="2" t="str">
        <x:v>TC-02002</x:v>
      </x:c>
      <x:c r="C193" s="12" t="n">
        <x:v>46232</x:v>
      </x:c>
      <x:c r="D193" s="2" t="n">
        <x:v>1</x:v>
      </x:c>
      <x:c r="E193" s="2" t="str">
        <x:v>Retail</x:v>
      </x:c>
      <x:c r="F193" s="14" t="n">
        <x:v>1870</x:v>
      </x:c>
      <x:c r="G193" s="2" t="str">
        <x:v>Simulated</x:v>
      </x:c>
    </x:row>
    <x:row r="194" ht="22" customHeight="1">
      <x:c r="A194" s="2" t="str">
        <x:v>BK-TC-02002-017</x:v>
      </x:c>
      <x:c r="B194" s="2" t="str">
        <x:v>TC-02002</x:v>
      </x:c>
      <x:c r="C194" s="12" t="n">
        <x:v>46157</x:v>
      </x:c>
      <x:c r="D194" s="2" t="n">
        <x:v>1</x:v>
      </x:c>
      <x:c r="E194" s="2" t="str">
        <x:v>Trade</x:v>
      </x:c>
      <x:c r="F194" s="14" t="n">
        <x:v>1870</x:v>
      </x:c>
      <x:c r="G194" s="2" t="str">
        <x:v>Simulated</x:v>
      </x:c>
    </x:row>
    <x:row r="195" ht="22" customHeight="1">
      <x:c r="A195" s="2" t="str">
        <x:v>BK-TC-02002-018</x:v>
      </x:c>
      <x:c r="B195" s="2" t="str">
        <x:v>TC-02002</x:v>
      </x:c>
      <x:c r="C195" s="12" t="n">
        <x:v>46204</x:v>
      </x:c>
      <x:c r="D195" s="2" t="n">
        <x:v>1</x:v>
      </x:c>
      <x:c r="E195" s="2" t="str">
        <x:v>Trade</x:v>
      </x:c>
      <x:c r="F195" s="14" t="n">
        <x:v>1870</x:v>
      </x:c>
      <x:c r="G195" s="2" t="str">
        <x:v>Simulated</x:v>
      </x:c>
    </x:row>
    <x:row r="196" ht="22" customHeight="1">
      <x:c r="A196" s="2" t="str">
        <x:v>BK-TC-02002-019</x:v>
      </x:c>
      <x:c r="B196" s="2" t="str">
        <x:v>TC-02002</x:v>
      </x:c>
      <x:c r="C196" s="12" t="n">
        <x:v>46229</x:v>
      </x:c>
      <x:c r="D196" s="2" t="n">
        <x:v>1</x:v>
      </x:c>
      <x:c r="E196" s="2" t="str">
        <x:v>Trade</x:v>
      </x:c>
      <x:c r="F196" s="14" t="n">
        <x:v>1870</x:v>
      </x:c>
      <x:c r="G196" s="2" t="str">
        <x:v>Simulated</x:v>
      </x:c>
    </x:row>
    <x:row r="197" ht="22" customHeight="1">
      <x:c r="A197" s="2" t="str">
        <x:v>BK-TC-02002-020</x:v>
      </x:c>
      <x:c r="B197" s="2" t="str">
        <x:v>TC-02002</x:v>
      </x:c>
      <x:c r="C197" s="12" t="n">
        <x:v>46256</x:v>
      </x:c>
      <x:c r="D197" s="2" t="n">
        <x:v>1</x:v>
      </x:c>
      <x:c r="E197" s="2" t="str">
        <x:v>Trade</x:v>
      </x:c>
      <x:c r="F197" s="14" t="n">
        <x:v>1870</x:v>
      </x:c>
      <x:c r="G197" s="2" t="str">
        <x:v>Simulated</x:v>
      </x:c>
    </x:row>
    <x:row r="198" ht="22" customHeight="1">
      <x:c r="A198" s="2" t="str">
        <x:v>BK-TC-02002-021</x:v>
      </x:c>
      <x:c r="B198" s="2" t="str">
        <x:v>TC-02002</x:v>
      </x:c>
      <x:c r="C198" s="12" t="n">
        <x:v>46239</x:v>
      </x:c>
      <x:c r="D198" s="2" t="n">
        <x:v>1</x:v>
      </x:c>
      <x:c r="E198" s="2" t="str">
        <x:v>Retail</x:v>
      </x:c>
      <x:c r="F198" s="14" t="n">
        <x:v>1870</x:v>
      </x:c>
      <x:c r="G198" s="2" t="str">
        <x:v>Simulated</x:v>
      </x:c>
    </x:row>
    <x:row r="199" ht="22" customHeight="1">
      <x:c r="A199" s="2" t="str">
        <x:v>BK-TC-02002-022</x:v>
      </x:c>
      <x:c r="B199" s="2" t="str">
        <x:v>TC-02002</x:v>
      </x:c>
      <x:c r="C199" s="12" t="n">
        <x:v>46263</x:v>
      </x:c>
      <x:c r="D199" s="2" t="n">
        <x:v>1</x:v>
      </x:c>
      <x:c r="E199" s="2" t="str">
        <x:v>Trade</x:v>
      </x:c>
      <x:c r="F199" s="14" t="n">
        <x:v>1870</x:v>
      </x:c>
      <x:c r="G199" s="2" t="str">
        <x:v>Simulated</x:v>
      </x:c>
    </x:row>
    <x:row r="200" ht="22" customHeight="1">
      <x:c r="A200" s="2" t="str">
        <x:v>BK-TC-02002-023</x:v>
      </x:c>
      <x:c r="B200" s="2" t="str">
        <x:v>TC-02002</x:v>
      </x:c>
      <x:c r="C200" s="12" t="n">
        <x:v>46250</x:v>
      </x:c>
      <x:c r="D200" s="2" t="n">
        <x:v>1</x:v>
      </x:c>
      <x:c r="E200" s="2" t="str">
        <x:v>Trade</x:v>
      </x:c>
      <x:c r="F200" s="14" t="n">
        <x:v>1870</x:v>
      </x:c>
      <x:c r="G200" s="2" t="str">
        <x:v>Simulated</x:v>
      </x:c>
    </x:row>
    <x:row r="201" ht="22" customHeight="1">
      <x:c r="A201" s="2" t="str">
        <x:v>BK-TC-02002-024</x:v>
      </x:c>
      <x:c r="B201" s="2" t="str">
        <x:v>TC-02002</x:v>
      </x:c>
      <x:c r="C201" s="12" t="n">
        <x:v>46237</x:v>
      </x:c>
      <x:c r="D201" s="2" t="n">
        <x:v>1</x:v>
      </x:c>
      <x:c r="E201" s="2" t="str">
        <x:v>Online</x:v>
      </x:c>
      <x:c r="F201" s="14" t="n">
        <x:v>1870</x:v>
      </x:c>
      <x:c r="G201" s="2" t="str">
        <x:v>Simulated</x:v>
      </x:c>
    </x:row>
    <x:row r="202" ht="22" customHeight="1">
      <x:c r="A202" s="2" t="str">
        <x:v>BK-TC-02002-025</x:v>
      </x:c>
      <x:c r="B202" s="2" t="str">
        <x:v>TC-02002</x:v>
      </x:c>
      <x:c r="C202" s="12" t="n">
        <x:v>46238</x:v>
      </x:c>
      <x:c r="D202" s="2" t="n">
        <x:v>1</x:v>
      </x:c>
      <x:c r="E202" s="2" t="str">
        <x:v>Online</x:v>
      </x:c>
      <x:c r="F202" s="14" t="n">
        <x:v>1870</x:v>
      </x:c>
      <x:c r="G202" s="2" t="str">
        <x:v>Simulated</x:v>
      </x:c>
    </x:row>
    <x:row r="203" ht="22" customHeight="1">
      <x:c r="A203" s="2" t="str">
        <x:v>BK-TC-02002-026</x:v>
      </x:c>
      <x:c r="B203" s="2" t="str">
        <x:v>TC-02002</x:v>
      </x:c>
      <x:c r="C203" s="12" t="n">
        <x:v>46147</x:v>
      </x:c>
      <x:c r="D203" s="2" t="n">
        <x:v>1</x:v>
      </x:c>
      <x:c r="E203" s="2" t="str">
        <x:v>Online</x:v>
      </x:c>
      <x:c r="F203" s="14" t="n">
        <x:v>1870</x:v>
      </x:c>
      <x:c r="G203" s="2" t="str">
        <x:v>Simulated</x:v>
      </x:c>
    </x:row>
    <x:row r="204" ht="22" customHeight="1">
      <x:c r="A204" s="2" t="str">
        <x:v>BK-TC-02002-027</x:v>
      </x:c>
      <x:c r="B204" s="2" t="str">
        <x:v>TC-02002</x:v>
      </x:c>
      <x:c r="C204" s="12" t="n">
        <x:v>46209</x:v>
      </x:c>
      <x:c r="D204" s="2" t="n">
        <x:v>1</x:v>
      </x:c>
      <x:c r="E204" s="2" t="str">
        <x:v>Trade</x:v>
      </x:c>
      <x:c r="F204" s="14" t="n">
        <x:v>1870</x:v>
      </x:c>
      <x:c r="G204" s="2" t="str">
        <x:v>Simulated</x:v>
      </x:c>
    </x:row>
    <x:row r="205" ht="22" customHeight="1">
      <x:c r="A205" s="2" t="str">
        <x:v>BK-TC-02002-028</x:v>
      </x:c>
      <x:c r="B205" s="2" t="str">
        <x:v>TC-02002</x:v>
      </x:c>
      <x:c r="C205" s="12" t="n">
        <x:v>46133</x:v>
      </x:c>
      <x:c r="D205" s="2" t="n">
        <x:v>1</x:v>
      </x:c>
      <x:c r="E205" s="2" t="str">
        <x:v>Trade</x:v>
      </x:c>
      <x:c r="F205" s="14" t="n">
        <x:v>1870</x:v>
      </x:c>
      <x:c r="G205" s="2" t="str">
        <x:v>Simulated</x:v>
      </x:c>
    </x:row>
    <x:row r="206" ht="22" customHeight="1">
      <x:c r="A206" s="2" t="str">
        <x:v>BK-TC-02002-029</x:v>
      </x:c>
      <x:c r="B206" s="2" t="str">
        <x:v>TC-02002</x:v>
      </x:c>
      <x:c r="C206" s="12" t="n">
        <x:v>46302</x:v>
      </x:c>
      <x:c r="D206" s="2" t="n">
        <x:v>1</x:v>
      </x:c>
      <x:c r="E206" s="2" t="str">
        <x:v>Retail</x:v>
      </x:c>
      <x:c r="F206" s="14" t="n">
        <x:v>1870</x:v>
      </x:c>
      <x:c r="G206" s="2" t="str">
        <x:v>Simulated</x:v>
      </x:c>
    </x:row>
    <x:row r="207" ht="22" customHeight="1">
      <x:c r="A207" s="2" t="str">
        <x:v>BK-TC-02002-030</x:v>
      </x:c>
      <x:c r="B207" s="2" t="str">
        <x:v>TC-02002</x:v>
      </x:c>
      <x:c r="C207" s="12" t="n">
        <x:v>46166</x:v>
      </x:c>
      <x:c r="D207" s="2" t="n">
        <x:v>1</x:v>
      </x:c>
      <x:c r="E207" s="2" t="str">
        <x:v>Online</x:v>
      </x:c>
      <x:c r="F207" s="14" t="n">
        <x:v>1870</x:v>
      </x:c>
      <x:c r="G207" s="2" t="str">
        <x:v>Simulated</x:v>
      </x:c>
    </x:row>
    <x:row r="208" ht="22" customHeight="1">
      <x:c r="A208" s="2" t="str">
        <x:v>BK-TC-02003-001</x:v>
      </x:c>
      <x:c r="B208" s="2" t="str">
        <x:v>TC-02003</x:v>
      </x:c>
      <x:c r="C208" s="12" t="n">
        <x:v>46164</x:v>
      </x:c>
      <x:c r="D208" s="2" t="n">
        <x:v>1</x:v>
      </x:c>
      <x:c r="E208" s="2" t="str">
        <x:v>Retail</x:v>
      </x:c>
      <x:c r="F208" s="14" t="n">
        <x:v>1870</x:v>
      </x:c>
      <x:c r="G208" s="2" t="str">
        <x:v>Simulated</x:v>
      </x:c>
    </x:row>
    <x:row r="209" ht="22" customHeight="1">
      <x:c r="A209" s="2" t="str">
        <x:v>BK-TC-02003-002</x:v>
      </x:c>
      <x:c r="B209" s="2" t="str">
        <x:v>TC-02003</x:v>
      </x:c>
      <x:c r="C209" s="12" t="n">
        <x:v>46258</x:v>
      </x:c>
      <x:c r="D209" s="2" t="n">
        <x:v>1</x:v>
      </x:c>
      <x:c r="E209" s="2" t="str">
        <x:v>Retail</x:v>
      </x:c>
      <x:c r="F209" s="14" t="n">
        <x:v>1870</x:v>
      </x:c>
      <x:c r="G209" s="2" t="str">
        <x:v>Simulated</x:v>
      </x:c>
    </x:row>
    <x:row r="210" ht="22" customHeight="1">
      <x:c r="A210" s="2" t="str">
        <x:v>BK-TC-02003-003</x:v>
      </x:c>
      <x:c r="B210" s="2" t="str">
        <x:v>TC-02003</x:v>
      </x:c>
      <x:c r="C210" s="12" t="n">
        <x:v>46272</x:v>
      </x:c>
      <x:c r="D210" s="2" t="n">
        <x:v>1</x:v>
      </x:c>
      <x:c r="E210" s="2" t="str">
        <x:v>Retail</x:v>
      </x:c>
      <x:c r="F210" s="14" t="n">
        <x:v>1870</x:v>
      </x:c>
      <x:c r="G210" s="2" t="str">
        <x:v>Simulated</x:v>
      </x:c>
    </x:row>
    <x:row r="211" ht="22" customHeight="1">
      <x:c r="A211" s="2" t="str">
        <x:v>BK-TC-02003-004</x:v>
      </x:c>
      <x:c r="B211" s="2" t="str">
        <x:v>TC-02003</x:v>
      </x:c>
      <x:c r="C211" s="12" t="n">
        <x:v>46170</x:v>
      </x:c>
      <x:c r="D211" s="2" t="n">
        <x:v>1</x:v>
      </x:c>
      <x:c r="E211" s="2" t="str">
        <x:v>Trade</x:v>
      </x:c>
      <x:c r="F211" s="14" t="n">
        <x:v>1870</x:v>
      </x:c>
      <x:c r="G211" s="2" t="str">
        <x:v>Simulated</x:v>
      </x:c>
    </x:row>
    <x:row r="212" ht="22" customHeight="1">
      <x:c r="A212" s="2" t="str">
        <x:v>BK-TC-02003-005</x:v>
      </x:c>
      <x:c r="B212" s="2" t="str">
        <x:v>TC-02003</x:v>
      </x:c>
      <x:c r="C212" s="12" t="n">
        <x:v>46232</x:v>
      </x:c>
      <x:c r="D212" s="2" t="n">
        <x:v>1</x:v>
      </x:c>
      <x:c r="E212" s="2" t="str">
        <x:v>Trade</x:v>
      </x:c>
      <x:c r="F212" s="14" t="n">
        <x:v>1870</x:v>
      </x:c>
      <x:c r="G212" s="2" t="str">
        <x:v>Simulated</x:v>
      </x:c>
    </x:row>
    <x:row r="213" ht="22" customHeight="1">
      <x:c r="A213" s="2" t="str">
        <x:v>BK-TC-02003-006</x:v>
      </x:c>
      <x:c r="B213" s="2" t="str">
        <x:v>TC-02003</x:v>
      </x:c>
      <x:c r="C213" s="12" t="n">
        <x:v>46226</x:v>
      </x:c>
      <x:c r="D213" s="2" t="n">
        <x:v>1</x:v>
      </x:c>
      <x:c r="E213" s="2" t="str">
        <x:v>Trade</x:v>
      </x:c>
      <x:c r="F213" s="14" t="n">
        <x:v>1870</x:v>
      </x:c>
      <x:c r="G213" s="2" t="str">
        <x:v>Simulated</x:v>
      </x:c>
    </x:row>
    <x:row r="214" ht="22" customHeight="1">
      <x:c r="A214" s="2" t="str">
        <x:v>BK-TC-02003-007</x:v>
      </x:c>
      <x:c r="B214" s="2" t="str">
        <x:v>TC-02003</x:v>
      </x:c>
      <x:c r="C214" s="12" t="n">
        <x:v>46280</x:v>
      </x:c>
      <x:c r="D214" s="2" t="n">
        <x:v>1</x:v>
      </x:c>
      <x:c r="E214" s="2" t="str">
        <x:v>Retail</x:v>
      </x:c>
      <x:c r="F214" s="14" t="n">
        <x:v>1870</x:v>
      </x:c>
      <x:c r="G214" s="2" t="str">
        <x:v>Simulated</x:v>
      </x:c>
    </x:row>
    <x:row r="215" ht="22" customHeight="1">
      <x:c r="A215" s="2" t="str">
        <x:v>BK-TC-02003-008</x:v>
      </x:c>
      <x:c r="B215" s="2" t="str">
        <x:v>TC-02003</x:v>
      </x:c>
      <x:c r="C215" s="12" t="n">
        <x:v>46157</x:v>
      </x:c>
      <x:c r="D215" s="2" t="n">
        <x:v>1</x:v>
      </x:c>
      <x:c r="E215" s="2" t="str">
        <x:v>Retail</x:v>
      </x:c>
      <x:c r="F215" s="14" t="n">
        <x:v>1870</x:v>
      </x:c>
      <x:c r="G215" s="2" t="str">
        <x:v>Simulated</x:v>
      </x:c>
    </x:row>
    <x:row r="216" ht="22" customHeight="1">
      <x:c r="A216" s="2" t="str">
        <x:v>BK-TC-02003-009</x:v>
      </x:c>
      <x:c r="B216" s="2" t="str">
        <x:v>TC-02003</x:v>
      </x:c>
      <x:c r="C216" s="12" t="n">
        <x:v>46250</x:v>
      </x:c>
      <x:c r="D216" s="2" t="n">
        <x:v>1</x:v>
      </x:c>
      <x:c r="E216" s="2" t="str">
        <x:v>Retail</x:v>
      </x:c>
      <x:c r="F216" s="14" t="n">
        <x:v>1870</x:v>
      </x:c>
      <x:c r="G216" s="2" t="str">
        <x:v>Simulated</x:v>
      </x:c>
    </x:row>
    <x:row r="217" ht="22" customHeight="1">
      <x:c r="A217" s="2" t="str">
        <x:v>BK-TC-02003-010</x:v>
      </x:c>
      <x:c r="B217" s="2" t="str">
        <x:v>TC-02003</x:v>
      </x:c>
      <x:c r="C217" s="12" t="n">
        <x:v>46236</x:v>
      </x:c>
      <x:c r="D217" s="2" t="n">
        <x:v>1</x:v>
      </x:c>
      <x:c r="E217" s="2" t="str">
        <x:v>Trade</x:v>
      </x:c>
      <x:c r="F217" s="14" t="n">
        <x:v>1870</x:v>
      </x:c>
      <x:c r="G217" s="2" t="str">
        <x:v>Simulated</x:v>
      </x:c>
    </x:row>
    <x:row r="218" ht="22" customHeight="1">
      <x:c r="A218" s="2" t="str">
        <x:v>BK-TC-02003-011</x:v>
      </x:c>
      <x:c r="B218" s="2" t="str">
        <x:v>TC-02003</x:v>
      </x:c>
      <x:c r="C218" s="12" t="n">
        <x:v>46157</x:v>
      </x:c>
      <x:c r="D218" s="2" t="n">
        <x:v>1</x:v>
      </x:c>
      <x:c r="E218" s="2" t="str">
        <x:v>Retail</x:v>
      </x:c>
      <x:c r="F218" s="14" t="n">
        <x:v>1870</x:v>
      </x:c>
      <x:c r="G218" s="2" t="str">
        <x:v>Simulated</x:v>
      </x:c>
    </x:row>
    <x:row r="219" ht="22" customHeight="1">
      <x:c r="A219" s="2" t="str">
        <x:v>BK-TC-02003-012</x:v>
      </x:c>
      <x:c r="B219" s="2" t="str">
        <x:v>TC-02003</x:v>
      </x:c>
      <x:c r="C219" s="12" t="n">
        <x:v>46274</x:v>
      </x:c>
      <x:c r="D219" s="2" t="n">
        <x:v>1</x:v>
      </x:c>
      <x:c r="E219" s="2" t="str">
        <x:v>Online</x:v>
      </x:c>
      <x:c r="F219" s="14" t="n">
        <x:v>1870</x:v>
      </x:c>
      <x:c r="G219" s="2" t="str">
        <x:v>Simulated</x:v>
      </x:c>
    </x:row>
    <x:row r="220" ht="22" customHeight="1">
      <x:c r="A220" s="2" t="str">
        <x:v>BK-TC-02003-013</x:v>
      </x:c>
      <x:c r="B220" s="2" t="str">
        <x:v>TC-02003</x:v>
      </x:c>
      <x:c r="C220" s="12" t="n">
        <x:v>46145</x:v>
      </x:c>
      <x:c r="D220" s="2" t="n">
        <x:v>1</x:v>
      </x:c>
      <x:c r="E220" s="2" t="str">
        <x:v>Retail</x:v>
      </x:c>
      <x:c r="F220" s="14" t="n">
        <x:v>1870</x:v>
      </x:c>
      <x:c r="G220" s="2" t="str">
        <x:v>Simulated</x:v>
      </x:c>
    </x:row>
    <x:row r="221" ht="22" customHeight="1">
      <x:c r="A221" s="2" t="str">
        <x:v>BK-TC-02003-014</x:v>
      </x:c>
      <x:c r="B221" s="2" t="str">
        <x:v>TC-02003</x:v>
      </x:c>
      <x:c r="C221" s="12" t="n">
        <x:v>46288</x:v>
      </x:c>
      <x:c r="D221" s="2" t="n">
        <x:v>1</x:v>
      </x:c>
      <x:c r="E221" s="2" t="str">
        <x:v>Retail</x:v>
      </x:c>
      <x:c r="F221" s="14" t="n">
        <x:v>1870</x:v>
      </x:c>
      <x:c r="G221" s="2" t="str">
        <x:v>Simulated</x:v>
      </x:c>
    </x:row>
    <x:row r="222" ht="22" customHeight="1">
      <x:c r="A222" s="2" t="str">
        <x:v>BK-TC-02003-015</x:v>
      </x:c>
      <x:c r="B222" s="2" t="str">
        <x:v>TC-02003</x:v>
      </x:c>
      <x:c r="C222" s="12" t="n">
        <x:v>46277</x:v>
      </x:c>
      <x:c r="D222" s="2" t="n">
        <x:v>1</x:v>
      </x:c>
      <x:c r="E222" s="2" t="str">
        <x:v>Online</x:v>
      </x:c>
      <x:c r="F222" s="14" t="n">
        <x:v>1870</x:v>
      </x:c>
      <x:c r="G222" s="2" t="str">
        <x:v>Simulated</x:v>
      </x:c>
    </x:row>
    <x:row r="223" ht="22" customHeight="1">
      <x:c r="A223" s="2" t="str">
        <x:v>BK-TC-02003-016</x:v>
      </x:c>
      <x:c r="B223" s="2" t="str">
        <x:v>TC-02003</x:v>
      </x:c>
      <x:c r="C223" s="12" t="n">
        <x:v>46246</x:v>
      </x:c>
      <x:c r="D223" s="2" t="n">
        <x:v>1</x:v>
      </x:c>
      <x:c r="E223" s="2" t="str">
        <x:v>Online</x:v>
      </x:c>
      <x:c r="F223" s="14" t="n">
        <x:v>1870</x:v>
      </x:c>
      <x:c r="G223" s="2" t="str">
        <x:v>Simulated</x:v>
      </x:c>
    </x:row>
    <x:row r="224" ht="22" customHeight="1">
      <x:c r="A224" s="2" t="str">
        <x:v>BK-TC-02003-017</x:v>
      </x:c>
      <x:c r="B224" s="2" t="str">
        <x:v>TC-02003</x:v>
      </x:c>
      <x:c r="C224" s="12" t="n">
        <x:v>46238</x:v>
      </x:c>
      <x:c r="D224" s="2" t="n">
        <x:v>1</x:v>
      </x:c>
      <x:c r="E224" s="2" t="str">
        <x:v>Trade</x:v>
      </x:c>
      <x:c r="F224" s="14" t="n">
        <x:v>1870</x:v>
      </x:c>
      <x:c r="G224" s="2" t="str">
        <x:v>Simulated</x:v>
      </x:c>
    </x:row>
    <x:row r="225" ht="22" customHeight="1">
      <x:c r="A225" s="2" t="str">
        <x:v>BK-TC-02003-018</x:v>
      </x:c>
      <x:c r="B225" s="2" t="str">
        <x:v>TC-02003</x:v>
      </x:c>
      <x:c r="C225" s="12" t="n">
        <x:v>46271</x:v>
      </x:c>
      <x:c r="D225" s="2" t="n">
        <x:v>1</x:v>
      </x:c>
      <x:c r="E225" s="2" t="str">
        <x:v>Retail</x:v>
      </x:c>
      <x:c r="F225" s="14" t="n">
        <x:v>1870</x:v>
      </x:c>
      <x:c r="G225" s="2" t="str">
        <x:v>Simulated</x:v>
      </x:c>
    </x:row>
    <x:row r="226" ht="22" customHeight="1">
      <x:c r="A226" s="2" t="str">
        <x:v>BK-TC-02003-019</x:v>
      </x:c>
      <x:c r="B226" s="2" t="str">
        <x:v>TC-02003</x:v>
      </x:c>
      <x:c r="C226" s="12" t="n">
        <x:v>46183</x:v>
      </x:c>
      <x:c r="D226" s="2" t="n">
        <x:v>1</x:v>
      </x:c>
      <x:c r="E226" s="2" t="str">
        <x:v>Online</x:v>
      </x:c>
      <x:c r="F226" s="14" t="n">
        <x:v>1870</x:v>
      </x:c>
      <x:c r="G226" s="2" t="str">
        <x:v>Simulated</x:v>
      </x:c>
    </x:row>
    <x:row r="227" ht="22" customHeight="1">
      <x:c r="A227" s="2" t="str">
        <x:v>BK-TC-02003-020</x:v>
      </x:c>
      <x:c r="B227" s="2" t="str">
        <x:v>TC-02003</x:v>
      </x:c>
      <x:c r="C227" s="12" t="n">
        <x:v>46301</x:v>
      </x:c>
      <x:c r="D227" s="2" t="n">
        <x:v>1</x:v>
      </x:c>
      <x:c r="E227" s="2" t="str">
        <x:v>Online</x:v>
      </x:c>
      <x:c r="F227" s="14" t="n">
        <x:v>1870</x:v>
      </x:c>
      <x:c r="G227" s="2" t="str">
        <x:v>Simulated</x:v>
      </x:c>
    </x:row>
    <x:row r="228" ht="22" customHeight="1">
      <x:c r="A228" s="2" t="str">
        <x:v>BK-TC-02003-021</x:v>
      </x:c>
      <x:c r="B228" s="2" t="str">
        <x:v>TC-02003</x:v>
      </x:c>
      <x:c r="C228" s="12" t="n">
        <x:v>46193</x:v>
      </x:c>
      <x:c r="D228" s="2" t="n">
        <x:v>1</x:v>
      </x:c>
      <x:c r="E228" s="2" t="str">
        <x:v>Trade</x:v>
      </x:c>
      <x:c r="F228" s="14" t="n">
        <x:v>1870</x:v>
      </x:c>
      <x:c r="G228" s="2" t="str">
        <x:v>Simulated</x:v>
      </x:c>
    </x:row>
    <x:row r="229" ht="22" customHeight="1">
      <x:c r="A229" s="2" t="str">
        <x:v>BK-TC-02003-022</x:v>
      </x:c>
      <x:c r="B229" s="2" t="str">
        <x:v>TC-02003</x:v>
      </x:c>
      <x:c r="C229" s="12" t="n">
        <x:v>46284</x:v>
      </x:c>
      <x:c r="D229" s="2" t="n">
        <x:v>1</x:v>
      </x:c>
      <x:c r="E229" s="2" t="str">
        <x:v>Trade</x:v>
      </x:c>
      <x:c r="F229" s="14" t="n">
        <x:v>1870</x:v>
      </x:c>
      <x:c r="G229" s="2" t="str">
        <x:v>Simulated</x:v>
      </x:c>
    </x:row>
    <x:row r="230" ht="22" customHeight="1">
      <x:c r="A230" s="2" t="str">
        <x:v>BK-TC-02003-023</x:v>
      </x:c>
      <x:c r="B230" s="2" t="str">
        <x:v>TC-02003</x:v>
      </x:c>
      <x:c r="C230" s="12" t="n">
        <x:v>46182</x:v>
      </x:c>
      <x:c r="D230" s="2" t="n">
        <x:v>1</x:v>
      </x:c>
      <x:c r="E230" s="2" t="str">
        <x:v>Online</x:v>
      </x:c>
      <x:c r="F230" s="14" t="n">
        <x:v>1870</x:v>
      </x:c>
      <x:c r="G230" s="2" t="str">
        <x:v>Simulated</x:v>
      </x:c>
    </x:row>
    <x:row r="231" ht="22" customHeight="1">
      <x:c r="A231" s="2" t="str">
        <x:v>BK-TC-02003-024</x:v>
      </x:c>
      <x:c r="B231" s="2" t="str">
        <x:v>TC-02003</x:v>
      </x:c>
      <x:c r="C231" s="12" t="n">
        <x:v>46276</x:v>
      </x:c>
      <x:c r="D231" s="2" t="n">
        <x:v>1</x:v>
      </x:c>
      <x:c r="E231" s="2" t="str">
        <x:v>Online</x:v>
      </x:c>
      <x:c r="F231" s="14" t="n">
        <x:v>1870</x:v>
      </x:c>
      <x:c r="G231" s="2" t="str">
        <x:v>Simulated</x:v>
      </x:c>
    </x:row>
    <x:row r="232" ht="22" customHeight="1">
      <x:c r="A232" s="2" t="str">
        <x:v>BK-TC-02003-025</x:v>
      </x:c>
      <x:c r="B232" s="2" t="str">
        <x:v>TC-02003</x:v>
      </x:c>
      <x:c r="C232" s="12" t="n">
        <x:v>46287</x:v>
      </x:c>
      <x:c r="D232" s="2" t="n">
        <x:v>1</x:v>
      </x:c>
      <x:c r="E232" s="2" t="str">
        <x:v>Retail</x:v>
      </x:c>
      <x:c r="F232" s="14" t="n">
        <x:v>1870</x:v>
      </x:c>
      <x:c r="G232" s="2" t="str">
        <x:v>Simulated</x:v>
      </x:c>
    </x:row>
    <x:row r="233" ht="22" customHeight="1">
      <x:c r="A233" s="2" t="str">
        <x:v>BK-TC-02003-026</x:v>
      </x:c>
      <x:c r="B233" s="2" t="str">
        <x:v>TC-02003</x:v>
      </x:c>
      <x:c r="C233" s="12" t="n">
        <x:v>46266</x:v>
      </x:c>
      <x:c r="D233" s="2" t="n">
        <x:v>1</x:v>
      </x:c>
      <x:c r="E233" s="2" t="str">
        <x:v>Online</x:v>
      </x:c>
      <x:c r="F233" s="14" t="n">
        <x:v>1870</x:v>
      </x:c>
      <x:c r="G233" s="2" t="str">
        <x:v>Simulated</x:v>
      </x:c>
    </x:row>
    <x:row r="234" ht="22" customHeight="1">
      <x:c r="A234" s="2" t="str">
        <x:v>BK-TC-02003-027</x:v>
      </x:c>
      <x:c r="B234" s="2" t="str">
        <x:v>TC-02003</x:v>
      </x:c>
      <x:c r="C234" s="12" t="n">
        <x:v>46226</x:v>
      </x:c>
      <x:c r="D234" s="2" t="n">
        <x:v>1</x:v>
      </x:c>
      <x:c r="E234" s="2" t="str">
        <x:v>Trade</x:v>
      </x:c>
      <x:c r="F234" s="14" t="n">
        <x:v>1870</x:v>
      </x:c>
      <x:c r="G234" s="2" t="str">
        <x:v>Simulated</x:v>
      </x:c>
    </x:row>
    <x:row r="235" ht="22" customHeight="1">
      <x:c r="A235" s="2" t="str">
        <x:v>BK-TC-02004-001</x:v>
      </x:c>
      <x:c r="B235" s="2" t="str">
        <x:v>TC-02004</x:v>
      </x:c>
      <x:c r="C235" s="12" t="n">
        <x:v>46235</x:v>
      </x:c>
      <x:c r="D235" s="2" t="n">
        <x:v>1</x:v>
      </x:c>
      <x:c r="E235" s="2" t="str">
        <x:v>Retail</x:v>
      </x:c>
      <x:c r="F235" s="14" t="n">
        <x:v>1870</x:v>
      </x:c>
      <x:c r="G235" s="2" t="str">
        <x:v>Simulated</x:v>
      </x:c>
    </x:row>
    <x:row r="236" ht="22" customHeight="1">
      <x:c r="A236" s="2" t="str">
        <x:v>BK-TC-02004-002</x:v>
      </x:c>
      <x:c r="B236" s="2" t="str">
        <x:v>TC-02004</x:v>
      </x:c>
      <x:c r="C236" s="12" t="n">
        <x:v>46174</x:v>
      </x:c>
      <x:c r="D236" s="2" t="n">
        <x:v>1</x:v>
      </x:c>
      <x:c r="E236" s="2" t="str">
        <x:v>Trade</x:v>
      </x:c>
      <x:c r="F236" s="14" t="n">
        <x:v>1870</x:v>
      </x:c>
      <x:c r="G236" s="2" t="str">
        <x:v>Simulated</x:v>
      </x:c>
    </x:row>
    <x:row r="237" ht="22" customHeight="1">
      <x:c r="A237" s="2" t="str">
        <x:v>BK-TC-02004-003</x:v>
      </x:c>
      <x:c r="B237" s="2" t="str">
        <x:v>TC-02004</x:v>
      </x:c>
      <x:c r="C237" s="12" t="n">
        <x:v>46278</x:v>
      </x:c>
      <x:c r="D237" s="2" t="n">
        <x:v>1</x:v>
      </x:c>
      <x:c r="E237" s="2" t="str">
        <x:v>Online</x:v>
      </x:c>
      <x:c r="F237" s="14" t="n">
        <x:v>1870</x:v>
      </x:c>
      <x:c r="G237" s="2" t="str">
        <x:v>Simulated</x:v>
      </x:c>
    </x:row>
    <x:row r="238" ht="22" customHeight="1">
      <x:c r="A238" s="2" t="str">
        <x:v>BK-TC-02004-004</x:v>
      </x:c>
      <x:c r="B238" s="2" t="str">
        <x:v>TC-02004</x:v>
      </x:c>
      <x:c r="C238" s="12" t="n">
        <x:v>46304</x:v>
      </x:c>
      <x:c r="D238" s="2" t="n">
        <x:v>1</x:v>
      </x:c>
      <x:c r="E238" s="2" t="str">
        <x:v>Trade</x:v>
      </x:c>
      <x:c r="F238" s="14" t="n">
        <x:v>1870</x:v>
      </x:c>
      <x:c r="G238" s="2" t="str">
        <x:v>Simulated</x:v>
      </x:c>
    </x:row>
    <x:row r="239" ht="22" customHeight="1">
      <x:c r="A239" s="2" t="str">
        <x:v>BK-TC-02004-005</x:v>
      </x:c>
      <x:c r="B239" s="2" t="str">
        <x:v>TC-02004</x:v>
      </x:c>
      <x:c r="C239" s="12" t="n">
        <x:v>46255</x:v>
      </x:c>
      <x:c r="D239" s="2" t="n">
        <x:v>1</x:v>
      </x:c>
      <x:c r="E239" s="2" t="str">
        <x:v>Retail</x:v>
      </x:c>
      <x:c r="F239" s="14" t="n">
        <x:v>1870</x:v>
      </x:c>
      <x:c r="G239" s="2" t="str">
        <x:v>Simulated</x:v>
      </x:c>
    </x:row>
    <x:row r="240" ht="22" customHeight="1">
      <x:c r="A240" s="2" t="str">
        <x:v>BK-TC-02004-006</x:v>
      </x:c>
      <x:c r="B240" s="2" t="str">
        <x:v>TC-02004</x:v>
      </x:c>
      <x:c r="C240" s="12" t="n">
        <x:v>46218</x:v>
      </x:c>
      <x:c r="D240" s="2" t="n">
        <x:v>1</x:v>
      </x:c>
      <x:c r="E240" s="2" t="str">
        <x:v>Online</x:v>
      </x:c>
      <x:c r="F240" s="14" t="n">
        <x:v>1870</x:v>
      </x:c>
      <x:c r="G240" s="2" t="str">
        <x:v>Simulated</x:v>
      </x:c>
    </x:row>
    <x:row r="241" ht="22" customHeight="1">
      <x:c r="A241" s="2" t="str">
        <x:v>BK-TC-02004-007</x:v>
      </x:c>
      <x:c r="B241" s="2" t="str">
        <x:v>TC-02004</x:v>
      </x:c>
      <x:c r="C241" s="12" t="n">
        <x:v>46290</x:v>
      </x:c>
      <x:c r="D241" s="2" t="n">
        <x:v>1</x:v>
      </x:c>
      <x:c r="E241" s="2" t="str">
        <x:v>Trade</x:v>
      </x:c>
      <x:c r="F241" s="14" t="n">
        <x:v>1870</x:v>
      </x:c>
      <x:c r="G241" s="2" t="str">
        <x:v>Simulated</x:v>
      </x:c>
    </x:row>
    <x:row r="242" ht="22" customHeight="1">
      <x:c r="A242" s="2" t="str">
        <x:v>BK-TC-02004-008</x:v>
      </x:c>
      <x:c r="B242" s="2" t="str">
        <x:v>TC-02004</x:v>
      </x:c>
      <x:c r="C242" s="12" t="n">
        <x:v>46176</x:v>
      </x:c>
      <x:c r="D242" s="2" t="n">
        <x:v>1</x:v>
      </x:c>
      <x:c r="E242" s="2" t="str">
        <x:v>Trade</x:v>
      </x:c>
      <x:c r="F242" s="14" t="n">
        <x:v>1870</x:v>
      </x:c>
      <x:c r="G242" s="2" t="str">
        <x:v>Simulated</x:v>
      </x:c>
    </x:row>
    <x:row r="243" ht="22" customHeight="1">
      <x:c r="A243" s="2" t="str">
        <x:v>BK-TC-02004-009</x:v>
      </x:c>
      <x:c r="B243" s="2" t="str">
        <x:v>TC-02004</x:v>
      </x:c>
      <x:c r="C243" s="12" t="n">
        <x:v>46207</x:v>
      </x:c>
      <x:c r="D243" s="2" t="n">
        <x:v>1</x:v>
      </x:c>
      <x:c r="E243" s="2" t="str">
        <x:v>Retail</x:v>
      </x:c>
      <x:c r="F243" s="14" t="n">
        <x:v>1870</x:v>
      </x:c>
      <x:c r="G243" s="2" t="str">
        <x:v>Simulated</x:v>
      </x:c>
    </x:row>
    <x:row r="244" ht="22" customHeight="1">
      <x:c r="A244" s="2" t="str">
        <x:v>BK-TC-02004-010</x:v>
      </x:c>
      <x:c r="B244" s="2" t="str">
        <x:v>TC-02004</x:v>
      </x:c>
      <x:c r="C244" s="12" t="n">
        <x:v>46278</x:v>
      </x:c>
      <x:c r="D244" s="2" t="n">
        <x:v>1</x:v>
      </x:c>
      <x:c r="E244" s="2" t="str">
        <x:v>Retail</x:v>
      </x:c>
      <x:c r="F244" s="14" t="n">
        <x:v>1870</x:v>
      </x:c>
      <x:c r="G244" s="2" t="str">
        <x:v>Simulated</x:v>
      </x:c>
    </x:row>
    <x:row r="245" ht="22" customHeight="1">
      <x:c r="A245" s="2" t="str">
        <x:v>BK-TC-02004-011</x:v>
      </x:c>
      <x:c r="B245" s="2" t="str">
        <x:v>TC-02004</x:v>
      </x:c>
      <x:c r="C245" s="12" t="n">
        <x:v>46259</x:v>
      </x:c>
      <x:c r="D245" s="2" t="n">
        <x:v>1</x:v>
      </x:c>
      <x:c r="E245" s="2" t="str">
        <x:v>Retail</x:v>
      </x:c>
      <x:c r="F245" s="14" t="n">
        <x:v>1870</x:v>
      </x:c>
      <x:c r="G245" s="2" t="str">
        <x:v>Simulated</x:v>
      </x:c>
    </x:row>
    <x:row r="246" ht="22" customHeight="1">
      <x:c r="A246" s="2" t="str">
        <x:v>BK-TC-02004-012</x:v>
      </x:c>
      <x:c r="B246" s="2" t="str">
        <x:v>TC-02004</x:v>
      </x:c>
      <x:c r="C246" s="12" t="n">
        <x:v>46226</x:v>
      </x:c>
      <x:c r="D246" s="2" t="n">
        <x:v>1</x:v>
      </x:c>
      <x:c r="E246" s="2" t="str">
        <x:v>Retail</x:v>
      </x:c>
      <x:c r="F246" s="14" t="n">
        <x:v>1870</x:v>
      </x:c>
      <x:c r="G246" s="2" t="str">
        <x:v>Simulated</x:v>
      </x:c>
    </x:row>
    <x:row r="247" ht="22" customHeight="1">
      <x:c r="A247" s="2" t="str">
        <x:v>BK-TC-02004-013</x:v>
      </x:c>
      <x:c r="B247" s="2" t="str">
        <x:v>TC-02004</x:v>
      </x:c>
      <x:c r="C247" s="12" t="n">
        <x:v>46254</x:v>
      </x:c>
      <x:c r="D247" s="2" t="n">
        <x:v>1</x:v>
      </x:c>
      <x:c r="E247" s="2" t="str">
        <x:v>Retail</x:v>
      </x:c>
      <x:c r="F247" s="14" t="n">
        <x:v>1870</x:v>
      </x:c>
      <x:c r="G247" s="2" t="str">
        <x:v>Simulated</x:v>
      </x:c>
    </x:row>
    <x:row r="248" ht="22" customHeight="1">
      <x:c r="A248" s="2" t="str">
        <x:v>BK-TC-02004-014</x:v>
      </x:c>
      <x:c r="B248" s="2" t="str">
        <x:v>TC-02004</x:v>
      </x:c>
      <x:c r="C248" s="12" t="n">
        <x:v>46258</x:v>
      </x:c>
      <x:c r="D248" s="2" t="n">
        <x:v>1</x:v>
      </x:c>
      <x:c r="E248" s="2" t="str">
        <x:v>Retail</x:v>
      </x:c>
      <x:c r="F248" s="14" t="n">
        <x:v>1870</x:v>
      </x:c>
      <x:c r="G248" s="2" t="str">
        <x:v>Simulated</x:v>
      </x:c>
    </x:row>
    <x:row r="249" ht="22" customHeight="1">
      <x:c r="A249" s="2" t="str">
        <x:v>BK-TC-02004-015</x:v>
      </x:c>
      <x:c r="B249" s="2" t="str">
        <x:v>TC-02004</x:v>
      </x:c>
      <x:c r="C249" s="12" t="n">
        <x:v>46233</x:v>
      </x:c>
      <x:c r="D249" s="2" t="n">
        <x:v>1</x:v>
      </x:c>
      <x:c r="E249" s="2" t="str">
        <x:v>Retail</x:v>
      </x:c>
      <x:c r="F249" s="14" t="n">
        <x:v>1870</x:v>
      </x:c>
      <x:c r="G249" s="2" t="str">
        <x:v>Simulated</x:v>
      </x:c>
    </x:row>
    <x:row r="250" ht="22" customHeight="1">
      <x:c r="A250" s="2" t="str">
        <x:v>BK-TC-02004-016</x:v>
      </x:c>
      <x:c r="B250" s="2" t="str">
        <x:v>TC-02004</x:v>
      </x:c>
      <x:c r="C250" s="12" t="n">
        <x:v>46193</x:v>
      </x:c>
      <x:c r="D250" s="2" t="n">
        <x:v>1</x:v>
      </x:c>
      <x:c r="E250" s="2" t="str">
        <x:v>Retail</x:v>
      </x:c>
      <x:c r="F250" s="14" t="n">
        <x:v>1870</x:v>
      </x:c>
      <x:c r="G250" s="2" t="str">
        <x:v>Simulated</x:v>
      </x:c>
    </x:row>
    <x:row r="251" ht="22" customHeight="1">
      <x:c r="A251" s="2" t="str">
        <x:v>BK-TC-02004-017</x:v>
      </x:c>
      <x:c r="B251" s="2" t="str">
        <x:v>TC-02004</x:v>
      </x:c>
      <x:c r="C251" s="12" t="n">
        <x:v>46227</x:v>
      </x:c>
      <x:c r="D251" s="2" t="n">
        <x:v>1</x:v>
      </x:c>
      <x:c r="E251" s="2" t="str">
        <x:v>Trade</x:v>
      </x:c>
      <x:c r="F251" s="14" t="n">
        <x:v>1870</x:v>
      </x:c>
      <x:c r="G251" s="2" t="str">
        <x:v>Simulated</x:v>
      </x:c>
    </x:row>
    <x:row r="252" ht="22" customHeight="1">
      <x:c r="A252" s="2" t="str">
        <x:v>BK-TC-02004-018</x:v>
      </x:c>
      <x:c r="B252" s="2" t="str">
        <x:v>TC-02004</x:v>
      </x:c>
      <x:c r="C252" s="12" t="n">
        <x:v>46252</x:v>
      </x:c>
      <x:c r="D252" s="2" t="n">
        <x:v>1</x:v>
      </x:c>
      <x:c r="E252" s="2" t="str">
        <x:v>Online</x:v>
      </x:c>
      <x:c r="F252" s="14" t="n">
        <x:v>1870</x:v>
      </x:c>
      <x:c r="G252" s="2" t="str">
        <x:v>Simulated</x:v>
      </x:c>
    </x:row>
    <x:row r="253" ht="22" customHeight="1">
      <x:c r="A253" s="2" t="str">
        <x:v>BK-TC-02005-001</x:v>
      </x:c>
      <x:c r="B253" s="2" t="str">
        <x:v>TC-02005</x:v>
      </x:c>
      <x:c r="C253" s="12" t="n">
        <x:v>46225</x:v>
      </x:c>
      <x:c r="D253" s="2" t="n">
        <x:v>1</x:v>
      </x:c>
      <x:c r="E253" s="2" t="str">
        <x:v>Trade</x:v>
      </x:c>
      <x:c r="F253" s="14" t="n">
        <x:v>1870</x:v>
      </x:c>
      <x:c r="G253" s="2" t="str">
        <x:v>Simulated</x:v>
      </x:c>
    </x:row>
    <x:row r="254" ht="22" customHeight="1">
      <x:c r="A254" s="2" t="str">
        <x:v>BK-TC-02005-002</x:v>
      </x:c>
      <x:c r="B254" s="2" t="str">
        <x:v>TC-02005</x:v>
      </x:c>
      <x:c r="C254" s="12" t="n">
        <x:v>46293</x:v>
      </x:c>
      <x:c r="D254" s="2" t="n">
        <x:v>1</x:v>
      </x:c>
      <x:c r="E254" s="2" t="str">
        <x:v>Retail</x:v>
      </x:c>
      <x:c r="F254" s="14" t="n">
        <x:v>1870</x:v>
      </x:c>
      <x:c r="G254" s="2" t="str">
        <x:v>Simulated</x:v>
      </x:c>
    </x:row>
    <x:row r="255" ht="22" customHeight="1">
      <x:c r="A255" s="2" t="str">
        <x:v>BK-TC-02005-003</x:v>
      </x:c>
      <x:c r="B255" s="2" t="str">
        <x:v>TC-02005</x:v>
      </x:c>
      <x:c r="C255" s="12" t="n">
        <x:v>46269</x:v>
      </x:c>
      <x:c r="D255" s="2" t="n">
        <x:v>1</x:v>
      </x:c>
      <x:c r="E255" s="2" t="str">
        <x:v>Retail</x:v>
      </x:c>
      <x:c r="F255" s="14" t="n">
        <x:v>1870</x:v>
      </x:c>
      <x:c r="G255" s="2" t="str">
        <x:v>Simulated</x:v>
      </x:c>
    </x:row>
    <x:row r="256" ht="22" customHeight="1">
      <x:c r="A256" s="2" t="str">
        <x:v>BK-TC-02005-004</x:v>
      </x:c>
      <x:c r="B256" s="2" t="str">
        <x:v>TC-02005</x:v>
      </x:c>
      <x:c r="C256" s="12" t="n">
        <x:v>46284</x:v>
      </x:c>
      <x:c r="D256" s="2" t="n">
        <x:v>1</x:v>
      </x:c>
      <x:c r="E256" s="2" t="str">
        <x:v>Online</x:v>
      </x:c>
      <x:c r="F256" s="14" t="n">
        <x:v>1870</x:v>
      </x:c>
      <x:c r="G256" s="2" t="str">
        <x:v>Simulated</x:v>
      </x:c>
    </x:row>
    <x:row r="257" ht="22" customHeight="1">
      <x:c r="A257" s="2" t="str">
        <x:v>BK-TC-02005-005</x:v>
      </x:c>
      <x:c r="B257" s="2" t="str">
        <x:v>TC-02005</x:v>
      </x:c>
      <x:c r="C257" s="12" t="n">
        <x:v>46180</x:v>
      </x:c>
      <x:c r="D257" s="2" t="n">
        <x:v>1</x:v>
      </x:c>
      <x:c r="E257" s="2" t="str">
        <x:v>Retail</x:v>
      </x:c>
      <x:c r="F257" s="14" t="n">
        <x:v>1870</x:v>
      </x:c>
      <x:c r="G257" s="2" t="str">
        <x:v>Simulated</x:v>
      </x:c>
    </x:row>
    <x:row r="258" ht="22" customHeight="1">
      <x:c r="A258" s="2" t="str">
        <x:v>BK-TC-02005-006</x:v>
      </x:c>
      <x:c r="B258" s="2" t="str">
        <x:v>TC-02005</x:v>
      </x:c>
      <x:c r="C258" s="12" t="n">
        <x:v>46298</x:v>
      </x:c>
      <x:c r="D258" s="2" t="n">
        <x:v>1</x:v>
      </x:c>
      <x:c r="E258" s="2" t="str">
        <x:v>Online</x:v>
      </x:c>
      <x:c r="F258" s="14" t="n">
        <x:v>1870</x:v>
      </x:c>
      <x:c r="G258" s="2" t="str">
        <x:v>Simulated</x:v>
      </x:c>
    </x:row>
    <x:row r="259" ht="22" customHeight="1">
      <x:c r="A259" s="2" t="str">
        <x:v>BK-TC-02005-007</x:v>
      </x:c>
      <x:c r="B259" s="2" t="str">
        <x:v>TC-02005</x:v>
      </x:c>
      <x:c r="C259" s="12" t="n">
        <x:v>46188</x:v>
      </x:c>
      <x:c r="D259" s="2" t="n">
        <x:v>1</x:v>
      </x:c>
      <x:c r="E259" s="2" t="str">
        <x:v>Online</x:v>
      </x:c>
      <x:c r="F259" s="14" t="n">
        <x:v>1870</x:v>
      </x:c>
      <x:c r="G259" s="2" t="str">
        <x:v>Simulated</x:v>
      </x:c>
    </x:row>
    <x:row r="260" ht="22" customHeight="1">
      <x:c r="A260" s="2" t="str">
        <x:v>BK-TC-02005-008</x:v>
      </x:c>
      <x:c r="B260" s="2" t="str">
        <x:v>TC-02005</x:v>
      </x:c>
      <x:c r="C260" s="12" t="n">
        <x:v>46259</x:v>
      </x:c>
      <x:c r="D260" s="2" t="n">
        <x:v>1</x:v>
      </x:c>
      <x:c r="E260" s="2" t="str">
        <x:v>Trade</x:v>
      </x:c>
      <x:c r="F260" s="14" t="n">
        <x:v>1870</x:v>
      </x:c>
      <x:c r="G260" s="2" t="str">
        <x:v>Simulated</x:v>
      </x:c>
    </x:row>
    <x:row r="261" ht="22" customHeight="1">
      <x:c r="A261" s="2" t="str">
        <x:v>BK-TC-02005-009</x:v>
      </x:c>
      <x:c r="B261" s="2" t="str">
        <x:v>TC-02005</x:v>
      </x:c>
      <x:c r="C261" s="12" t="n">
        <x:v>46304</x:v>
      </x:c>
      <x:c r="D261" s="2" t="n">
        <x:v>1</x:v>
      </x:c>
      <x:c r="E261" s="2" t="str">
        <x:v>Online</x:v>
      </x:c>
      <x:c r="F261" s="14" t="n">
        <x:v>1870</x:v>
      </x:c>
      <x:c r="G261" s="2" t="str">
        <x:v>Simulated</x:v>
      </x:c>
    </x:row>
    <x:row r="262" ht="22" customHeight="1">
      <x:c r="A262" s="2" t="str">
        <x:v>BK-TC-02005-010</x:v>
      </x:c>
      <x:c r="B262" s="2" t="str">
        <x:v>TC-02005</x:v>
      </x:c>
      <x:c r="C262" s="12" t="n">
        <x:v>46228</x:v>
      </x:c>
      <x:c r="D262" s="2" t="n">
        <x:v>1</x:v>
      </x:c>
      <x:c r="E262" s="2" t="str">
        <x:v>Retail</x:v>
      </x:c>
      <x:c r="F262" s="14" t="n">
        <x:v>1870</x:v>
      </x:c>
      <x:c r="G262" s="2" t="str">
        <x:v>Simulated</x:v>
      </x:c>
    </x:row>
    <x:row r="263" ht="22" customHeight="1">
      <x:c r="A263" s="2" t="str">
        <x:v>BK-TC-02005-011</x:v>
      </x:c>
      <x:c r="B263" s="2" t="str">
        <x:v>TC-02005</x:v>
      </x:c>
      <x:c r="C263" s="12" t="n">
        <x:v>46302</x:v>
      </x:c>
      <x:c r="D263" s="2" t="n">
        <x:v>1</x:v>
      </x:c>
      <x:c r="E263" s="2" t="str">
        <x:v>Trade</x:v>
      </x:c>
      <x:c r="F263" s="14" t="n">
        <x:v>1870</x:v>
      </x:c>
      <x:c r="G263" s="2" t="str">
        <x:v>Simulated</x:v>
      </x:c>
    </x:row>
    <x:row r="264" ht="22" customHeight="1">
      <x:c r="A264" s="2" t="str">
        <x:v>BK-TC-02005-012</x:v>
      </x:c>
      <x:c r="B264" s="2" t="str">
        <x:v>TC-02005</x:v>
      </x:c>
      <x:c r="C264" s="12" t="n">
        <x:v>46284</x:v>
      </x:c>
      <x:c r="D264" s="2" t="n">
        <x:v>1</x:v>
      </x:c>
      <x:c r="E264" s="2" t="str">
        <x:v>Trade</x:v>
      </x:c>
      <x:c r="F264" s="14" t="n">
        <x:v>1870</x:v>
      </x:c>
      <x:c r="G264" s="2" t="str">
        <x:v>Simulated</x:v>
      </x:c>
    </x:row>
    <x:row r="265" ht="22" customHeight="1">
      <x:c r="A265" s="2" t="str">
        <x:v>BK-TC-02005-013</x:v>
      </x:c>
      <x:c r="B265" s="2" t="str">
        <x:v>TC-02005</x:v>
      </x:c>
      <x:c r="C265" s="12" t="n">
        <x:v>46303</x:v>
      </x:c>
      <x:c r="D265" s="2" t="n">
        <x:v>1</x:v>
      </x:c>
      <x:c r="E265" s="2" t="str">
        <x:v>Retail</x:v>
      </x:c>
      <x:c r="F265" s="14" t="n">
        <x:v>1870</x:v>
      </x:c>
      <x:c r="G265" s="2" t="str">
        <x:v>Simulated</x:v>
      </x:c>
    </x:row>
    <x:row r="266" ht="22" customHeight="1">
      <x:c r="A266" s="2" t="str">
        <x:v>BK-TC-02005-014</x:v>
      </x:c>
      <x:c r="B266" s="2" t="str">
        <x:v>TC-02005</x:v>
      </x:c>
      <x:c r="C266" s="12" t="n">
        <x:v>46225</x:v>
      </x:c>
      <x:c r="D266" s="2" t="n">
        <x:v>1</x:v>
      </x:c>
      <x:c r="E266" s="2" t="str">
        <x:v>Online</x:v>
      </x:c>
      <x:c r="F266" s="14" t="n">
        <x:v>1870</x:v>
      </x:c>
      <x:c r="G266" s="2" t="str">
        <x:v>Simulated</x:v>
      </x:c>
    </x:row>
    <x:row r="267" ht="22" customHeight="1">
      <x:c r="A267" s="2" t="str">
        <x:v>BK-TC-02005-015</x:v>
      </x:c>
      <x:c r="B267" s="2" t="str">
        <x:v>TC-02005</x:v>
      </x:c>
      <x:c r="C267" s="12" t="n">
        <x:v>46274</x:v>
      </x:c>
      <x:c r="D267" s="2" t="n">
        <x:v>1</x:v>
      </x:c>
      <x:c r="E267" s="2" t="str">
        <x:v>Retail</x:v>
      </x:c>
      <x:c r="F267" s="14" t="n">
        <x:v>1870</x:v>
      </x:c>
      <x:c r="G267" s="2" t="str">
        <x:v>Simulated</x:v>
      </x:c>
    </x:row>
    <x:row r="268" ht="22" customHeight="1">
      <x:c r="A268" s="2" t="str">
        <x:v>BK-TC-02005-016</x:v>
      </x:c>
      <x:c r="B268" s="2" t="str">
        <x:v>TC-02005</x:v>
      </x:c>
      <x:c r="C268" s="12" t="n">
        <x:v>46211</x:v>
      </x:c>
      <x:c r="D268" s="2" t="n">
        <x:v>1</x:v>
      </x:c>
      <x:c r="E268" s="2" t="str">
        <x:v>Online</x:v>
      </x:c>
      <x:c r="F268" s="14" t="n">
        <x:v>1870</x:v>
      </x:c>
      <x:c r="G268" s="2" t="str">
        <x:v>Simulated</x:v>
      </x:c>
    </x:row>
    <x:row r="269" ht="22" customHeight="1">
      <x:c r="A269" s="2" t="str">
        <x:v>BK-TC-02006-001</x:v>
      </x:c>
      <x:c r="B269" s="2" t="str">
        <x:v>TC-02006</x:v>
      </x:c>
      <x:c r="C269" s="12" t="n">
        <x:v>46208</x:v>
      </x:c>
      <x:c r="D269" s="2" t="n">
        <x:v>1</x:v>
      </x:c>
      <x:c r="E269" s="2" t="str">
        <x:v>Trade</x:v>
      </x:c>
      <x:c r="F269" s="14" t="n">
        <x:v>1870</x:v>
      </x:c>
      <x:c r="G269" s="2" t="str">
        <x:v>Simulated</x:v>
      </x:c>
    </x:row>
    <x:row r="270" ht="22" customHeight="1">
      <x:c r="A270" s="2" t="str">
        <x:v>BK-TC-02006-002</x:v>
      </x:c>
      <x:c r="B270" s="2" t="str">
        <x:v>TC-02006</x:v>
      </x:c>
      <x:c r="C270" s="12" t="n">
        <x:v>46245</x:v>
      </x:c>
      <x:c r="D270" s="2" t="n">
        <x:v>1</x:v>
      </x:c>
      <x:c r="E270" s="2" t="str">
        <x:v>Online</x:v>
      </x:c>
      <x:c r="F270" s="14" t="n">
        <x:v>1870</x:v>
      </x:c>
      <x:c r="G270" s="2" t="str">
        <x:v>Simulated</x:v>
      </x:c>
    </x:row>
    <x:row r="271" ht="22" customHeight="1">
      <x:c r="A271" s="2" t="str">
        <x:v>BK-TC-02006-003</x:v>
      </x:c>
      <x:c r="B271" s="2" t="str">
        <x:v>TC-02006</x:v>
      </x:c>
      <x:c r="C271" s="12" t="n">
        <x:v>46272</x:v>
      </x:c>
      <x:c r="D271" s="2" t="n">
        <x:v>1</x:v>
      </x:c>
      <x:c r="E271" s="2" t="str">
        <x:v>Online</x:v>
      </x:c>
      <x:c r="F271" s="14" t="n">
        <x:v>1870</x:v>
      </x:c>
      <x:c r="G271" s="2" t="str">
        <x:v>Simulated</x:v>
      </x:c>
    </x:row>
    <x:row r="272" ht="22" customHeight="1">
      <x:c r="A272" s="2" t="str">
        <x:v>BK-TC-02006-004</x:v>
      </x:c>
      <x:c r="B272" s="2" t="str">
        <x:v>TC-02006</x:v>
      </x:c>
      <x:c r="C272" s="12" t="n">
        <x:v>46300</x:v>
      </x:c>
      <x:c r="D272" s="2" t="n">
        <x:v>1</x:v>
      </x:c>
      <x:c r="E272" s="2" t="str">
        <x:v>Online</x:v>
      </x:c>
      <x:c r="F272" s="14" t="n">
        <x:v>1870</x:v>
      </x:c>
      <x:c r="G272" s="2" t="str">
        <x:v>Simulated</x:v>
      </x:c>
    </x:row>
    <x:row r="273" ht="22" customHeight="1">
      <x:c r="A273" s="2" t="str">
        <x:v>BK-TC-02006-005</x:v>
      </x:c>
      <x:c r="B273" s="2" t="str">
        <x:v>TC-02006</x:v>
      </x:c>
      <x:c r="C273" s="12" t="n">
        <x:v>46208</x:v>
      </x:c>
      <x:c r="D273" s="2" t="n">
        <x:v>1</x:v>
      </x:c>
      <x:c r="E273" s="2" t="str">
        <x:v>Trade</x:v>
      </x:c>
      <x:c r="F273" s="14" t="n">
        <x:v>1870</x:v>
      </x:c>
      <x:c r="G273" s="2" t="str">
        <x:v>Simulated</x:v>
      </x:c>
    </x:row>
    <x:row r="274" ht="22" customHeight="1">
      <x:c r="A274" s="2" t="str">
        <x:v>BK-TC-02006-006</x:v>
      </x:c>
      <x:c r="B274" s="2" t="str">
        <x:v>TC-02006</x:v>
      </x:c>
      <x:c r="C274" s="12" t="n">
        <x:v>46291</x:v>
      </x:c>
      <x:c r="D274" s="2" t="n">
        <x:v>1</x:v>
      </x:c>
      <x:c r="E274" s="2" t="str">
        <x:v>Trade</x:v>
      </x:c>
      <x:c r="F274" s="14" t="n">
        <x:v>1870</x:v>
      </x:c>
      <x:c r="G274" s="2" t="str">
        <x:v>Simulated</x:v>
      </x:c>
    </x:row>
    <x:row r="275" ht="22" customHeight="1">
      <x:c r="A275" s="2" t="str">
        <x:v>BK-TC-02006-007</x:v>
      </x:c>
      <x:c r="B275" s="2" t="str">
        <x:v>TC-02006</x:v>
      </x:c>
      <x:c r="C275" s="12" t="n">
        <x:v>46279</x:v>
      </x:c>
      <x:c r="D275" s="2" t="n">
        <x:v>1</x:v>
      </x:c>
      <x:c r="E275" s="2" t="str">
        <x:v>Retail</x:v>
      </x:c>
      <x:c r="F275" s="14" t="n">
        <x:v>1870</x:v>
      </x:c>
      <x:c r="G275" s="2" t="str">
        <x:v>Simulated</x:v>
      </x:c>
    </x:row>
    <x:row r="276" ht="22" customHeight="1">
      <x:c r="A276" s="2" t="str">
        <x:v>BK-TC-02006-008</x:v>
      </x:c>
      <x:c r="B276" s="2" t="str">
        <x:v>TC-02006</x:v>
      </x:c>
      <x:c r="C276" s="12" t="n">
        <x:v>46244</x:v>
      </x:c>
      <x:c r="D276" s="2" t="n">
        <x:v>1</x:v>
      </x:c>
      <x:c r="E276" s="2" t="str">
        <x:v>Trade</x:v>
      </x:c>
      <x:c r="F276" s="14" t="n">
        <x:v>1870</x:v>
      </x:c>
      <x:c r="G276" s="2" t="str">
        <x:v>Simulated</x:v>
      </x:c>
    </x:row>
    <x:row r="277" ht="22" customHeight="1">
      <x:c r="A277" s="2" t="str">
        <x:v>BK-TC-02006-009</x:v>
      </x:c>
      <x:c r="B277" s="2" t="str">
        <x:v>TC-02006</x:v>
      </x:c>
      <x:c r="C277" s="12" t="n">
        <x:v>46271</x:v>
      </x:c>
      <x:c r="D277" s="2" t="n">
        <x:v>1</x:v>
      </x:c>
      <x:c r="E277" s="2" t="str">
        <x:v>Trade</x:v>
      </x:c>
      <x:c r="F277" s="14" t="n">
        <x:v>1870</x:v>
      </x:c>
      <x:c r="G277" s="2" t="str">
        <x:v>Simulated</x:v>
      </x:c>
    </x:row>
    <x:row r="278" ht="22" customHeight="1">
      <x:c r="A278" s="2" t="str">
        <x:v>BK-TC-02006-010</x:v>
      </x:c>
      <x:c r="B278" s="2" t="str">
        <x:v>TC-02006</x:v>
      </x:c>
      <x:c r="C278" s="12" t="n">
        <x:v>46283</x:v>
      </x:c>
      <x:c r="D278" s="2" t="n">
        <x:v>1</x:v>
      </x:c>
      <x:c r="E278" s="2" t="str">
        <x:v>Trade</x:v>
      </x:c>
      <x:c r="F278" s="14" t="n">
        <x:v>1870</x:v>
      </x:c>
      <x:c r="G278" s="2" t="str">
        <x:v>Simulated</x:v>
      </x:c>
    </x:row>
    <x:row r="279" ht="22" customHeight="1">
      <x:c r="A279" s="2" t="str">
        <x:v>BK-TC-02006-011</x:v>
      </x:c>
      <x:c r="B279" s="2" t="str">
        <x:v>TC-02006</x:v>
      </x:c>
      <x:c r="C279" s="12" t="n">
        <x:v>46273</x:v>
      </x:c>
      <x:c r="D279" s="2" t="n">
        <x:v>1</x:v>
      </x:c>
      <x:c r="E279" s="2" t="str">
        <x:v>Retail</x:v>
      </x:c>
      <x:c r="F279" s="14" t="n">
        <x:v>1870</x:v>
      </x:c>
      <x:c r="G279" s="2" t="str">
        <x:v>Simulated</x:v>
      </x:c>
    </x:row>
    <x:row r="280" ht="22" customHeight="1">
      <x:c r="A280" s="2" t="str">
        <x:v>BK-TC-02006-012</x:v>
      </x:c>
      <x:c r="B280" s="2" t="str">
        <x:v>TC-02006</x:v>
      </x:c>
      <x:c r="C280" s="12" t="n">
        <x:v>46250</x:v>
      </x:c>
      <x:c r="D280" s="2" t="n">
        <x:v>1</x:v>
      </x:c>
      <x:c r="E280" s="2" t="str">
        <x:v>Online</x:v>
      </x:c>
      <x:c r="F280" s="14" t="n">
        <x:v>1870</x:v>
      </x:c>
      <x:c r="G280" s="2" t="str">
        <x:v>Simulated</x:v>
      </x:c>
    </x:row>
    <x:row r="281" ht="22" customHeight="1">
      <x:c r="A281" s="2" t="str">
        <x:v>BK-TC-02006-013</x:v>
      </x:c>
      <x:c r="B281" s="2" t="str">
        <x:v>TC-02006</x:v>
      </x:c>
      <x:c r="C281" s="12" t="n">
        <x:v>46246</x:v>
      </x:c>
      <x:c r="D281" s="2" t="n">
        <x:v>1</x:v>
      </x:c>
      <x:c r="E281" s="2" t="str">
        <x:v>Trade</x:v>
      </x:c>
      <x:c r="F281" s="14" t="n">
        <x:v>1870</x:v>
      </x:c>
      <x:c r="G281" s="2" t="str">
        <x:v>Simulated</x:v>
      </x:c>
    </x:row>
    <x:row r="282" ht="22" customHeight="1">
      <x:c r="A282" s="2" t="str">
        <x:v>BK-TC-02006-014</x:v>
      </x:c>
      <x:c r="B282" s="2" t="str">
        <x:v>TC-02006</x:v>
      </x:c>
      <x:c r="C282" s="12" t="n">
        <x:v>46276</x:v>
      </x:c>
      <x:c r="D282" s="2" t="n">
        <x:v>1</x:v>
      </x:c>
      <x:c r="E282" s="2" t="str">
        <x:v>Online</x:v>
      </x:c>
      <x:c r="F282" s="14" t="n">
        <x:v>1870</x:v>
      </x:c>
      <x:c r="G282" s="2" t="str">
        <x:v>Simulated</x:v>
      </x:c>
    </x:row>
    <x:row r="283" ht="22" customHeight="1">
      <x:c r="A283" s="2" t="str">
        <x:v>BK-TC-02006-015</x:v>
      </x:c>
      <x:c r="B283" s="2" t="str">
        <x:v>TC-02006</x:v>
      </x:c>
      <x:c r="C283" s="12" t="n">
        <x:v>46234</x:v>
      </x:c>
      <x:c r="D283" s="2" t="n">
        <x:v>1</x:v>
      </x:c>
      <x:c r="E283" s="2" t="str">
        <x:v>Online</x:v>
      </x:c>
      <x:c r="F283" s="14" t="n">
        <x:v>1870</x:v>
      </x:c>
      <x:c r="G283" s="2" t="str">
        <x:v>Simulated</x:v>
      </x:c>
    </x:row>
    <x:row r="284" ht="22" customHeight="1">
      <x:c r="A284" s="2" t="str">
        <x:v>BK-TC-02006-016</x:v>
      </x:c>
      <x:c r="B284" s="2" t="str">
        <x:v>TC-02006</x:v>
      </x:c>
      <x:c r="C284" s="12" t="n">
        <x:v>46281</x:v>
      </x:c>
      <x:c r="D284" s="2" t="n">
        <x:v>1</x:v>
      </x:c>
      <x:c r="E284" s="2" t="str">
        <x:v>Trade</x:v>
      </x:c>
      <x:c r="F284" s="14" t="n">
        <x:v>1870</x:v>
      </x:c>
      <x:c r="G284" s="2" t="str">
        <x:v>Simulated</x:v>
      </x:c>
    </x:row>
    <x:row r="285" ht="22" customHeight="1">
      <x:c r="A285" s="2" t="str">
        <x:v>BK-TC-02007-001</x:v>
      </x:c>
      <x:c r="B285" s="2" t="str">
        <x:v>TC-02007</x:v>
      </x:c>
      <x:c r="C285" s="12" t="n">
        <x:v>46245</x:v>
      </x:c>
      <x:c r="D285" s="2" t="n">
        <x:v>1</x:v>
      </x:c>
      <x:c r="E285" s="2" t="str">
        <x:v>Retail</x:v>
      </x:c>
      <x:c r="F285" s="14" t="n">
        <x:v>1870</x:v>
      </x:c>
      <x:c r="G285" s="2" t="str">
        <x:v>Simulated</x:v>
      </x:c>
    </x:row>
    <x:row r="286" ht="22" customHeight="1">
      <x:c r="A286" s="2" t="str">
        <x:v>BK-TC-02007-002</x:v>
      </x:c>
      <x:c r="B286" s="2" t="str">
        <x:v>TC-02007</x:v>
      </x:c>
      <x:c r="C286" s="12" t="n">
        <x:v>46215</x:v>
      </x:c>
      <x:c r="D286" s="2" t="n">
        <x:v>1</x:v>
      </x:c>
      <x:c r="E286" s="2" t="str">
        <x:v>Trade</x:v>
      </x:c>
      <x:c r="F286" s="14" t="n">
        <x:v>1870</x:v>
      </x:c>
      <x:c r="G286" s="2" t="str">
        <x:v>Simulated</x:v>
      </x:c>
    </x:row>
    <x:row r="287" ht="22" customHeight="1">
      <x:c r="A287" s="2" t="str">
        <x:v>BK-TC-02007-003</x:v>
      </x:c>
      <x:c r="B287" s="2" t="str">
        <x:v>TC-02007</x:v>
      </x:c>
      <x:c r="C287" s="12" t="n">
        <x:v>46250</x:v>
      </x:c>
      <x:c r="D287" s="2" t="n">
        <x:v>1</x:v>
      </x:c>
      <x:c r="E287" s="2" t="str">
        <x:v>Online</x:v>
      </x:c>
      <x:c r="F287" s="14" t="n">
        <x:v>1870</x:v>
      </x:c>
      <x:c r="G287" s="2" t="str">
        <x:v>Simulated</x:v>
      </x:c>
    </x:row>
    <x:row r="288" ht="22" customHeight="1">
      <x:c r="A288" s="2" t="str">
        <x:v>BK-TC-02007-004</x:v>
      </x:c>
      <x:c r="B288" s="2" t="str">
        <x:v>TC-02007</x:v>
      </x:c>
      <x:c r="C288" s="12" t="n">
        <x:v>46276</x:v>
      </x:c>
      <x:c r="D288" s="2" t="n">
        <x:v>1</x:v>
      </x:c>
      <x:c r="E288" s="2" t="str">
        <x:v>Online</x:v>
      </x:c>
      <x:c r="F288" s="14" t="n">
        <x:v>1870</x:v>
      </x:c>
      <x:c r="G288" s="2" t="str">
        <x:v>Simulated</x:v>
      </x:c>
    </x:row>
    <x:row r="289" ht="22" customHeight="1">
      <x:c r="A289" s="2" t="str">
        <x:v>BK-TC-02007-005</x:v>
      </x:c>
      <x:c r="B289" s="2" t="str">
        <x:v>TC-02007</x:v>
      </x:c>
      <x:c r="C289" s="12" t="n">
        <x:v>46216</x:v>
      </x:c>
      <x:c r="D289" s="2" t="n">
        <x:v>1</x:v>
      </x:c>
      <x:c r="E289" s="2" t="str">
        <x:v>Trade</x:v>
      </x:c>
      <x:c r="F289" s="14" t="n">
        <x:v>1870</x:v>
      </x:c>
      <x:c r="G289" s="2" t="str">
        <x:v>Simulated</x:v>
      </x:c>
    </x:row>
    <x:row r="290" ht="22" customHeight="1">
      <x:c r="A290" s="2" t="str">
        <x:v>BK-TC-02007-006</x:v>
      </x:c>
      <x:c r="B290" s="2" t="str">
        <x:v>TC-02007</x:v>
      </x:c>
      <x:c r="C290" s="12" t="n">
        <x:v>46263</x:v>
      </x:c>
      <x:c r="D290" s="2" t="n">
        <x:v>1</x:v>
      </x:c>
      <x:c r="E290" s="2" t="str">
        <x:v>Online</x:v>
      </x:c>
      <x:c r="F290" s="14" t="n">
        <x:v>1870</x:v>
      </x:c>
      <x:c r="G290" s="2" t="str">
        <x:v>Simulated</x:v>
      </x:c>
    </x:row>
    <x:row r="291" ht="22" customHeight="1">
      <x:c r="A291" s="2" t="str">
        <x:v>BK-TC-02007-007</x:v>
      </x:c>
      <x:c r="B291" s="2" t="str">
        <x:v>TC-02007</x:v>
      </x:c>
      <x:c r="C291" s="12" t="n">
        <x:v>46238</x:v>
      </x:c>
      <x:c r="D291" s="2" t="n">
        <x:v>1</x:v>
      </x:c>
      <x:c r="E291" s="2" t="str">
        <x:v>Trade</x:v>
      </x:c>
      <x:c r="F291" s="14" t="n">
        <x:v>1870</x:v>
      </x:c>
      <x:c r="G291" s="2" t="str">
        <x:v>Simulated</x:v>
      </x:c>
    </x:row>
    <x:row r="292" ht="22" customHeight="1">
      <x:c r="A292" s="2" t="str">
        <x:v>BK-TC-02007-008</x:v>
      </x:c>
      <x:c r="B292" s="2" t="str">
        <x:v>TC-02007</x:v>
      </x:c>
      <x:c r="C292" s="12" t="n">
        <x:v>46266</x:v>
      </x:c>
      <x:c r="D292" s="2" t="n">
        <x:v>1</x:v>
      </x:c>
      <x:c r="E292" s="2" t="str">
        <x:v>Trade</x:v>
      </x:c>
      <x:c r="F292" s="14" t="n">
        <x:v>1870</x:v>
      </x:c>
      <x:c r="G292" s="2" t="str">
        <x:v>Simulated</x:v>
      </x:c>
    </x:row>
    <x:row r="293" ht="22" customHeight="1">
      <x:c r="A293" s="2" t="str">
        <x:v>BK-TC-02007-009</x:v>
      </x:c>
      <x:c r="B293" s="2" t="str">
        <x:v>TC-02007</x:v>
      </x:c>
      <x:c r="C293" s="12" t="n">
        <x:v>46263</x:v>
      </x:c>
      <x:c r="D293" s="2" t="n">
        <x:v>1</x:v>
      </x:c>
      <x:c r="E293" s="2" t="str">
        <x:v>Trade</x:v>
      </x:c>
      <x:c r="F293" s="14" t="n">
        <x:v>1870</x:v>
      </x:c>
      <x:c r="G293" s="2" t="str">
        <x:v>Simulated</x:v>
      </x:c>
    </x:row>
    <x:row r="294" ht="22" customHeight="1">
      <x:c r="A294" s="2" t="str">
        <x:v>BK-TC-02007-010</x:v>
      </x:c>
      <x:c r="B294" s="2" t="str">
        <x:v>TC-02007</x:v>
      </x:c>
      <x:c r="C294" s="12" t="n">
        <x:v>46244</x:v>
      </x:c>
      <x:c r="D294" s="2" t="n">
        <x:v>1</x:v>
      </x:c>
      <x:c r="E294" s="2" t="str">
        <x:v>Retail</x:v>
      </x:c>
      <x:c r="F294" s="14" t="n">
        <x:v>1870</x:v>
      </x:c>
      <x:c r="G294" s="2" t="str">
        <x:v>Simulated</x:v>
      </x:c>
    </x:row>
    <x:row r="295" ht="22" customHeight="1">
      <x:c r="A295" s="2" t="str">
        <x:v>BK-TC-02007-011</x:v>
      </x:c>
      <x:c r="B295" s="2" t="str">
        <x:v>TC-02007</x:v>
      </x:c>
      <x:c r="C295" s="12" t="n">
        <x:v>46229</x:v>
      </x:c>
      <x:c r="D295" s="2" t="n">
        <x:v>1</x:v>
      </x:c>
      <x:c r="E295" s="2" t="str">
        <x:v>Online</x:v>
      </x:c>
      <x:c r="F295" s="14" t="n">
        <x:v>1870</x:v>
      </x:c>
      <x:c r="G295" s="2" t="str">
        <x:v>Simulated</x:v>
      </x:c>
    </x:row>
    <x:row r="296" ht="22" customHeight="1">
      <x:c r="A296" s="2" t="str">
        <x:v>BK-TC-02007-012</x:v>
      </x:c>
      <x:c r="B296" s="2" t="str">
        <x:v>TC-02007</x:v>
      </x:c>
      <x:c r="C296" s="12" t="n">
        <x:v>46217</x:v>
      </x:c>
      <x:c r="D296" s="2" t="n">
        <x:v>1</x:v>
      </x:c>
      <x:c r="E296" s="2" t="str">
        <x:v>Trade</x:v>
      </x:c>
      <x:c r="F296" s="14" t="n">
        <x:v>1870</x:v>
      </x:c>
      <x:c r="G296" s="2" t="str">
        <x:v>Simulated</x:v>
      </x:c>
    </x:row>
    <x:row r="297" ht="22" customHeight="1">
      <x:c r="A297" s="2" t="str">
        <x:v>BK-TC-02007-013</x:v>
      </x:c>
      <x:c r="B297" s="2" t="str">
        <x:v>TC-02007</x:v>
      </x:c>
      <x:c r="C297" s="12" t="n">
        <x:v>46241</x:v>
      </x:c>
      <x:c r="D297" s="2" t="n">
        <x:v>1</x:v>
      </x:c>
      <x:c r="E297" s="2" t="str">
        <x:v>Online</x:v>
      </x:c>
      <x:c r="F297" s="14" t="n">
        <x:v>1870</x:v>
      </x:c>
      <x:c r="G297" s="2" t="str">
        <x:v>Simulated</x:v>
      </x:c>
    </x:row>
    <x:row r="298" ht="22" customHeight="1">
      <x:c r="A298" s="2" t="str">
        <x:v>BK-TC-02007-014</x:v>
      </x:c>
      <x:c r="B298" s="2" t="str">
        <x:v>TC-02007</x:v>
      </x:c>
      <x:c r="C298" s="12" t="n">
        <x:v>46242</x:v>
      </x:c>
      <x:c r="D298" s="2" t="n">
        <x:v>1</x:v>
      </x:c>
      <x:c r="E298" s="2" t="str">
        <x:v>Retail</x:v>
      </x:c>
      <x:c r="F298" s="14" t="n">
        <x:v>1870</x:v>
      </x:c>
      <x:c r="G298" s="2" t="str">
        <x:v>Simulated</x:v>
      </x:c>
    </x:row>
    <x:row r="299" ht="22" customHeight="1">
      <x:c r="A299" s="2" t="str">
        <x:v>BK-TC-02008-001</x:v>
      </x:c>
      <x:c r="B299" s="2" t="str">
        <x:v>TC-02008</x:v>
      </x:c>
      <x:c r="C299" s="12" t="n">
        <x:v>46237</x:v>
      </x:c>
      <x:c r="D299" s="2" t="n">
        <x:v>1</x:v>
      </x:c>
      <x:c r="E299" s="2" t="str">
        <x:v>Retail</x:v>
      </x:c>
      <x:c r="F299" s="14" t="n">
        <x:v>1870</x:v>
      </x:c>
      <x:c r="G299" s="2" t="str">
        <x:v>Simulated</x:v>
      </x:c>
    </x:row>
    <x:row r="300" ht="22" customHeight="1">
      <x:c r="A300" s="2" t="str">
        <x:v>BK-TC-02008-002</x:v>
      </x:c>
      <x:c r="B300" s="2" t="str">
        <x:v>TC-02008</x:v>
      </x:c>
      <x:c r="C300" s="12" t="n">
        <x:v>46283</x:v>
      </x:c>
      <x:c r="D300" s="2" t="n">
        <x:v>1</x:v>
      </x:c>
      <x:c r="E300" s="2" t="str">
        <x:v>Online</x:v>
      </x:c>
      <x:c r="F300" s="14" t="n">
        <x:v>1870</x:v>
      </x:c>
      <x:c r="G300" s="2" t="str">
        <x:v>Simulated</x:v>
      </x:c>
    </x:row>
    <x:row r="301" ht="22" customHeight="1">
      <x:c r="A301" s="2" t="str">
        <x:v>BK-TC-02008-003</x:v>
      </x:c>
      <x:c r="B301" s="2" t="str">
        <x:v>TC-02008</x:v>
      </x:c>
      <x:c r="C301" s="12" t="n">
        <x:v>46287</x:v>
      </x:c>
      <x:c r="D301" s="2" t="n">
        <x:v>1</x:v>
      </x:c>
      <x:c r="E301" s="2" t="str">
        <x:v>Trade</x:v>
      </x:c>
      <x:c r="F301" s="14" t="n">
        <x:v>1870</x:v>
      </x:c>
      <x:c r="G301" s="2" t="str">
        <x:v>Simulated</x:v>
      </x:c>
    </x:row>
    <x:row r="302" ht="22" customHeight="1">
      <x:c r="A302" s="2" t="str">
        <x:v>BK-TC-02008-004</x:v>
      </x:c>
      <x:c r="B302" s="2" t="str">
        <x:v>TC-02008</x:v>
      </x:c>
      <x:c r="C302" s="12" t="n">
        <x:v>46281</x:v>
      </x:c>
      <x:c r="D302" s="2" t="n">
        <x:v>1</x:v>
      </x:c>
      <x:c r="E302" s="2" t="str">
        <x:v>Retail</x:v>
      </x:c>
      <x:c r="F302" s="14" t="n">
        <x:v>1870</x:v>
      </x:c>
      <x:c r="G302" s="2" t="str">
        <x:v>Simulated</x:v>
      </x:c>
    </x:row>
    <x:row r="303" ht="22" customHeight="1">
      <x:c r="A303" s="2" t="str">
        <x:v>BK-TC-02008-005</x:v>
      </x:c>
      <x:c r="B303" s="2" t="str">
        <x:v>TC-02008</x:v>
      </x:c>
      <x:c r="C303" s="12" t="n">
        <x:v>46246</x:v>
      </x:c>
      <x:c r="D303" s="2" t="n">
        <x:v>1</x:v>
      </x:c>
      <x:c r="E303" s="2" t="str">
        <x:v>Online</x:v>
      </x:c>
      <x:c r="F303" s="14" t="n">
        <x:v>1870</x:v>
      </x:c>
      <x:c r="G303" s="2" t="str">
        <x:v>Simulated</x:v>
      </x:c>
    </x:row>
    <x:row r="304" ht="22" customHeight="1">
      <x:c r="A304" s="2" t="str">
        <x:v>BK-TC-02008-006</x:v>
      </x:c>
      <x:c r="B304" s="2" t="str">
        <x:v>TC-02008</x:v>
      </x:c>
      <x:c r="C304" s="12" t="n">
        <x:v>46269</x:v>
      </x:c>
      <x:c r="D304" s="2" t="n">
        <x:v>1</x:v>
      </x:c>
      <x:c r="E304" s="2" t="str">
        <x:v>Retail</x:v>
      </x:c>
      <x:c r="F304" s="14" t="n">
        <x:v>1870</x:v>
      </x:c>
      <x:c r="G304" s="2" t="str">
        <x:v>Simulated</x:v>
      </x:c>
    </x:row>
    <x:row r="305" ht="22" customHeight="1">
      <x:c r="A305" s="2" t="str">
        <x:v>BK-TC-02008-007</x:v>
      </x:c>
      <x:c r="B305" s="2" t="str">
        <x:v>TC-02008</x:v>
      </x:c>
      <x:c r="C305" s="12" t="n">
        <x:v>46256</x:v>
      </x:c>
      <x:c r="D305" s="2" t="n">
        <x:v>1</x:v>
      </x:c>
      <x:c r="E305" s="2" t="str">
        <x:v>Trade</x:v>
      </x:c>
      <x:c r="F305" s="14" t="n">
        <x:v>1870</x:v>
      </x:c>
      <x:c r="G305" s="2" t="str">
        <x:v>Simulated</x:v>
      </x:c>
    </x:row>
    <x:row r="306" ht="22" customHeight="1">
      <x:c r="A306" s="2" t="str">
        <x:v>BK-TC-02008-008</x:v>
      </x:c>
      <x:c r="B306" s="2" t="str">
        <x:v>TC-02008</x:v>
      </x:c>
      <x:c r="C306" s="12" t="n">
        <x:v>46264</x:v>
      </x:c>
      <x:c r="D306" s="2" t="n">
        <x:v>1</x:v>
      </x:c>
      <x:c r="E306" s="2" t="str">
        <x:v>Trade</x:v>
      </x:c>
      <x:c r="F306" s="14" t="n">
        <x:v>1870</x:v>
      </x:c>
      <x:c r="G306" s="2" t="str">
        <x:v>Simulated</x:v>
      </x:c>
    </x:row>
    <x:row r="307" ht="22" customHeight="1">
      <x:c r="A307" s="2" t="str">
        <x:v>BK-TC-02008-009</x:v>
      </x:c>
      <x:c r="B307" s="2" t="str">
        <x:v>TC-02008</x:v>
      </x:c>
      <x:c r="C307" s="12" t="n">
        <x:v>46274</x:v>
      </x:c>
      <x:c r="D307" s="2" t="n">
        <x:v>1</x:v>
      </x:c>
      <x:c r="E307" s="2" t="str">
        <x:v>Retail</x:v>
      </x:c>
      <x:c r="F307" s="14" t="n">
        <x:v>1870</x:v>
      </x:c>
      <x:c r="G307" s="2" t="str">
        <x:v>Simulated</x:v>
      </x:c>
    </x:row>
    <x:row r="308" ht="22" customHeight="1">
      <x:c r="A308" s="2" t="str">
        <x:v>BK-TC-03001-001</x:v>
      </x:c>
      <x:c r="B308" s="2" t="str">
        <x:v>TC-03001</x:v>
      </x:c>
      <x:c r="C308" s="12" t="n">
        <x:v>46114</x:v>
      </x:c>
      <x:c r="D308" s="2" t="n">
        <x:v>1</x:v>
      </x:c>
      <x:c r="E308" s="2" t="str">
        <x:v>Online</x:v>
      </x:c>
      <x:c r="F308" s="14" t="n">
        <x:v>1990</x:v>
      </x:c>
      <x:c r="G308" s="2" t="str">
        <x:v>Simulated</x:v>
      </x:c>
    </x:row>
    <x:row r="309" ht="22" customHeight="1">
      <x:c r="A309" s="2" t="str">
        <x:v>BK-TC-03001-002</x:v>
      </x:c>
      <x:c r="B309" s="2" t="str">
        <x:v>TC-03001</x:v>
      </x:c>
      <x:c r="C309" s="12" t="n">
        <x:v>46129</x:v>
      </x:c>
      <x:c r="D309" s="2" t="n">
        <x:v>1</x:v>
      </x:c>
      <x:c r="E309" s="2" t="str">
        <x:v>Trade</x:v>
      </x:c>
      <x:c r="F309" s="14" t="n">
        <x:v>1990</x:v>
      </x:c>
      <x:c r="G309" s="2" t="str">
        <x:v>Simulated</x:v>
      </x:c>
    </x:row>
    <x:row r="310" ht="22" customHeight="1">
      <x:c r="A310" s="2" t="str">
        <x:v>BK-TC-03001-003</x:v>
      </x:c>
      <x:c r="B310" s="2" t="str">
        <x:v>TC-03001</x:v>
      </x:c>
      <x:c r="C310" s="12" t="n">
        <x:v>46205</x:v>
      </x:c>
      <x:c r="D310" s="2" t="n">
        <x:v>1</x:v>
      </x:c>
      <x:c r="E310" s="2" t="str">
        <x:v>Retail</x:v>
      </x:c>
      <x:c r="F310" s="14" t="n">
        <x:v>1990</x:v>
      </x:c>
      <x:c r="G310" s="2" t="str">
        <x:v>Simulated</x:v>
      </x:c>
    </x:row>
    <x:row r="311" ht="22" customHeight="1">
      <x:c r="A311" s="2" t="str">
        <x:v>BK-TC-03001-004</x:v>
      </x:c>
      <x:c r="B311" s="2" t="str">
        <x:v>TC-03001</x:v>
      </x:c>
      <x:c r="C311" s="12" t="n">
        <x:v>46171</x:v>
      </x:c>
      <x:c r="D311" s="2" t="n">
        <x:v>1</x:v>
      </x:c>
      <x:c r="E311" s="2" t="str">
        <x:v>Retail</x:v>
      </x:c>
      <x:c r="F311" s="14" t="n">
        <x:v>1990</x:v>
      </x:c>
      <x:c r="G311" s="2" t="str">
        <x:v>Simulated</x:v>
      </x:c>
    </x:row>
    <x:row r="312" ht="22" customHeight="1">
      <x:c r="A312" s="2" t="str">
        <x:v>BK-TC-03001-005</x:v>
      </x:c>
      <x:c r="B312" s="2" t="str">
        <x:v>TC-03001</x:v>
      </x:c>
      <x:c r="C312" s="12" t="n">
        <x:v>46116</x:v>
      </x:c>
      <x:c r="D312" s="2" t="n">
        <x:v>1</x:v>
      </x:c>
      <x:c r="E312" s="2" t="str">
        <x:v>Retail</x:v>
      </x:c>
      <x:c r="F312" s="14" t="n">
        <x:v>1990</x:v>
      </x:c>
      <x:c r="G312" s="2" t="str">
        <x:v>Simulated</x:v>
      </x:c>
    </x:row>
    <x:row r="313" ht="22" customHeight="1">
      <x:c r="A313" s="2" t="str">
        <x:v>BK-TC-03001-006</x:v>
      </x:c>
      <x:c r="B313" s="2" t="str">
        <x:v>TC-03001</x:v>
      </x:c>
      <x:c r="C313" s="12" t="n">
        <x:v>46293</x:v>
      </x:c>
      <x:c r="D313" s="2" t="n">
        <x:v>1</x:v>
      </x:c>
      <x:c r="E313" s="2" t="str">
        <x:v>Online</x:v>
      </x:c>
      <x:c r="F313" s="14" t="n">
        <x:v>1990</x:v>
      </x:c>
      <x:c r="G313" s="2" t="str">
        <x:v>Simulated</x:v>
      </x:c>
    </x:row>
    <x:row r="314" ht="22" customHeight="1">
      <x:c r="A314" s="2" t="str">
        <x:v>BK-TC-03001-007</x:v>
      </x:c>
      <x:c r="B314" s="2" t="str">
        <x:v>TC-03001</x:v>
      </x:c>
      <x:c r="C314" s="12" t="n">
        <x:v>46157</x:v>
      </x:c>
      <x:c r="D314" s="2" t="n">
        <x:v>1</x:v>
      </x:c>
      <x:c r="E314" s="2" t="str">
        <x:v>Retail</x:v>
      </x:c>
      <x:c r="F314" s="14" t="n">
        <x:v>1990</x:v>
      </x:c>
      <x:c r="G314" s="2" t="str">
        <x:v>Simulated</x:v>
      </x:c>
    </x:row>
    <x:row r="315" ht="22" customHeight="1">
      <x:c r="A315" s="2" t="str">
        <x:v>BK-TC-03001-008</x:v>
      </x:c>
      <x:c r="B315" s="2" t="str">
        <x:v>TC-03001</x:v>
      </x:c>
      <x:c r="C315" s="12" t="n">
        <x:v>46143</x:v>
      </x:c>
      <x:c r="D315" s="2" t="n">
        <x:v>1</x:v>
      </x:c>
      <x:c r="E315" s="2" t="str">
        <x:v>Trade</x:v>
      </x:c>
      <x:c r="F315" s="14" t="n">
        <x:v>1990</x:v>
      </x:c>
      <x:c r="G315" s="2" t="str">
        <x:v>Simulated</x:v>
      </x:c>
    </x:row>
    <x:row r="316" ht="22" customHeight="1">
      <x:c r="A316" s="2" t="str">
        <x:v>BK-TC-03001-009</x:v>
      </x:c>
      <x:c r="B316" s="2" t="str">
        <x:v>TC-03001</x:v>
      </x:c>
      <x:c r="C316" s="12" t="n">
        <x:v>46117</x:v>
      </x:c>
      <x:c r="D316" s="2" t="n">
        <x:v>1</x:v>
      </x:c>
      <x:c r="E316" s="2" t="str">
        <x:v>Retail</x:v>
      </x:c>
      <x:c r="F316" s="14" t="n">
        <x:v>1990</x:v>
      </x:c>
      <x:c r="G316" s="2" t="str">
        <x:v>Simulated</x:v>
      </x:c>
    </x:row>
    <x:row r="317" ht="22" customHeight="1">
      <x:c r="A317" s="2" t="str">
        <x:v>BK-TC-03001-010</x:v>
      </x:c>
      <x:c r="B317" s="2" t="str">
        <x:v>TC-03001</x:v>
      </x:c>
      <x:c r="C317" s="12" t="n">
        <x:v>46186</x:v>
      </x:c>
      <x:c r="D317" s="2" t="n">
        <x:v>1</x:v>
      </x:c>
      <x:c r="E317" s="2" t="str">
        <x:v>Online</x:v>
      </x:c>
      <x:c r="F317" s="14" t="n">
        <x:v>1990</x:v>
      </x:c>
      <x:c r="G317" s="2" t="str">
        <x:v>Simulated</x:v>
      </x:c>
    </x:row>
    <x:row r="318" ht="22" customHeight="1">
      <x:c r="A318" s="2" t="str">
        <x:v>BK-TC-03001-011</x:v>
      </x:c>
      <x:c r="B318" s="2" t="str">
        <x:v>TC-03001</x:v>
      </x:c>
      <x:c r="C318" s="12" t="n">
        <x:v>46171</x:v>
      </x:c>
      <x:c r="D318" s="2" t="n">
        <x:v>1</x:v>
      </x:c>
      <x:c r="E318" s="2" t="str">
        <x:v>Trade</x:v>
      </x:c>
      <x:c r="F318" s="14" t="n">
        <x:v>1990</x:v>
      </x:c>
      <x:c r="G318" s="2" t="str">
        <x:v>Simulated</x:v>
      </x:c>
    </x:row>
    <x:row r="319" ht="22" customHeight="1">
      <x:c r="A319" s="2" t="str">
        <x:v>BK-TC-03001-012</x:v>
      </x:c>
      <x:c r="B319" s="2" t="str">
        <x:v>TC-03001</x:v>
      </x:c>
      <x:c r="C319" s="12" t="n">
        <x:v>46290</x:v>
      </x:c>
      <x:c r="D319" s="2" t="n">
        <x:v>1</x:v>
      </x:c>
      <x:c r="E319" s="2" t="str">
        <x:v>Retail</x:v>
      </x:c>
      <x:c r="F319" s="14" t="n">
        <x:v>1990</x:v>
      </x:c>
      <x:c r="G319" s="2" t="str">
        <x:v>Simulated</x:v>
      </x:c>
    </x:row>
    <x:row r="320" ht="22" customHeight="1">
      <x:c r="A320" s="2" t="str">
        <x:v>BK-TC-03001-013</x:v>
      </x:c>
      <x:c r="B320" s="2" t="str">
        <x:v>TC-03001</x:v>
      </x:c>
      <x:c r="C320" s="12" t="n">
        <x:v>46223</x:v>
      </x:c>
      <x:c r="D320" s="2" t="n">
        <x:v>1</x:v>
      </x:c>
      <x:c r="E320" s="2" t="str">
        <x:v>Online</x:v>
      </x:c>
      <x:c r="F320" s="14" t="n">
        <x:v>1990</x:v>
      </x:c>
      <x:c r="G320" s="2" t="str">
        <x:v>Simulated</x:v>
      </x:c>
    </x:row>
    <x:row r="321" ht="22" customHeight="1">
      <x:c r="A321" s="2" t="str">
        <x:v>BK-TC-03001-014</x:v>
      </x:c>
      <x:c r="B321" s="2" t="str">
        <x:v>TC-03001</x:v>
      </x:c>
      <x:c r="C321" s="12" t="n">
        <x:v>46293</x:v>
      </x:c>
      <x:c r="D321" s="2" t="n">
        <x:v>1</x:v>
      </x:c>
      <x:c r="E321" s="2" t="str">
        <x:v>Retail</x:v>
      </x:c>
      <x:c r="F321" s="14" t="n">
        <x:v>1990</x:v>
      </x:c>
      <x:c r="G321" s="2" t="str">
        <x:v>Simulated</x:v>
      </x:c>
    </x:row>
    <x:row r="322" ht="22" customHeight="1">
      <x:c r="A322" s="2" t="str">
        <x:v>BK-TC-03001-015</x:v>
      </x:c>
      <x:c r="B322" s="2" t="str">
        <x:v>TC-03001</x:v>
      </x:c>
      <x:c r="C322" s="12" t="n">
        <x:v>46232</x:v>
      </x:c>
      <x:c r="D322" s="2" t="n">
        <x:v>1</x:v>
      </x:c>
      <x:c r="E322" s="2" t="str">
        <x:v>Trade</x:v>
      </x:c>
      <x:c r="F322" s="14" t="n">
        <x:v>1990</x:v>
      </x:c>
      <x:c r="G322" s="2" t="str">
        <x:v>Simulated</x:v>
      </x:c>
    </x:row>
    <x:row r="323" ht="22" customHeight="1">
      <x:c r="A323" s="2" t="str">
        <x:v>BK-TC-03001-016</x:v>
      </x:c>
      <x:c r="B323" s="2" t="str">
        <x:v>TC-03001</x:v>
      </x:c>
      <x:c r="C323" s="12" t="n">
        <x:v>46239</x:v>
      </x:c>
      <x:c r="D323" s="2" t="n">
        <x:v>1</x:v>
      </x:c>
      <x:c r="E323" s="2" t="str">
        <x:v>Trade</x:v>
      </x:c>
      <x:c r="F323" s="14" t="n">
        <x:v>1990</x:v>
      </x:c>
      <x:c r="G323" s="2" t="str">
        <x:v>Simulated</x:v>
      </x:c>
    </x:row>
    <x:row r="324" ht="22" customHeight="1">
      <x:c r="A324" s="2" t="str">
        <x:v>BK-TC-03001-017</x:v>
      </x:c>
      <x:c r="B324" s="2" t="str">
        <x:v>TC-03001</x:v>
      </x:c>
      <x:c r="C324" s="12" t="n">
        <x:v>46225</x:v>
      </x:c>
      <x:c r="D324" s="2" t="n">
        <x:v>1</x:v>
      </x:c>
      <x:c r="E324" s="2" t="str">
        <x:v>Retail</x:v>
      </x:c>
      <x:c r="F324" s="14" t="n">
        <x:v>1990</x:v>
      </x:c>
      <x:c r="G324" s="2" t="str">
        <x:v>Simulated</x:v>
      </x:c>
    </x:row>
    <x:row r="325" ht="22" customHeight="1">
      <x:c r="A325" s="2" t="str">
        <x:v>BK-TC-03002-001</x:v>
      </x:c>
      <x:c r="B325" s="2" t="str">
        <x:v>TC-03002</x:v>
      </x:c>
      <x:c r="C325" s="12" t="n">
        <x:v>46203</x:v>
      </x:c>
      <x:c r="D325" s="2" t="n">
        <x:v>1</x:v>
      </x:c>
      <x:c r="E325" s="2" t="str">
        <x:v>Online</x:v>
      </x:c>
      <x:c r="F325" s="14" t="n">
        <x:v>1990</x:v>
      </x:c>
      <x:c r="G325" s="2" t="str">
        <x:v>Simulated</x:v>
      </x:c>
    </x:row>
    <x:row r="326" ht="22" customHeight="1">
      <x:c r="A326" s="2" t="str">
        <x:v>BK-TC-03002-002</x:v>
      </x:c>
      <x:c r="B326" s="2" t="str">
        <x:v>TC-03002</x:v>
      </x:c>
      <x:c r="C326" s="12" t="n">
        <x:v>46179</x:v>
      </x:c>
      <x:c r="D326" s="2" t="n">
        <x:v>1</x:v>
      </x:c>
      <x:c r="E326" s="2" t="str">
        <x:v>Online</x:v>
      </x:c>
      <x:c r="F326" s="14" t="n">
        <x:v>1990</x:v>
      </x:c>
      <x:c r="G326" s="2" t="str">
        <x:v>Simulated</x:v>
      </x:c>
    </x:row>
    <x:row r="327" ht="22" customHeight="1">
      <x:c r="A327" s="2" t="str">
        <x:v>BK-TC-03002-003</x:v>
      </x:c>
      <x:c r="B327" s="2" t="str">
        <x:v>TC-03002</x:v>
      </x:c>
      <x:c r="C327" s="12" t="n">
        <x:v>46191</x:v>
      </x:c>
      <x:c r="D327" s="2" t="n">
        <x:v>1</x:v>
      </x:c>
      <x:c r="E327" s="2" t="str">
        <x:v>Trade</x:v>
      </x:c>
      <x:c r="F327" s="14" t="n">
        <x:v>1990</x:v>
      </x:c>
      <x:c r="G327" s="2" t="str">
        <x:v>Simulated</x:v>
      </x:c>
    </x:row>
    <x:row r="328" ht="22" customHeight="1">
      <x:c r="A328" s="2" t="str">
        <x:v>BK-TC-03002-004</x:v>
      </x:c>
      <x:c r="B328" s="2" t="str">
        <x:v>TC-03002</x:v>
      </x:c>
      <x:c r="C328" s="12" t="n">
        <x:v>46284</x:v>
      </x:c>
      <x:c r="D328" s="2" t="n">
        <x:v>1</x:v>
      </x:c>
      <x:c r="E328" s="2" t="str">
        <x:v>Retail</x:v>
      </x:c>
      <x:c r="F328" s="14" t="n">
        <x:v>1990</x:v>
      </x:c>
      <x:c r="G328" s="2" t="str">
        <x:v>Simulated</x:v>
      </x:c>
    </x:row>
    <x:row r="329" ht="22" customHeight="1">
      <x:c r="A329" s="2" t="str">
        <x:v>BK-TC-03002-005</x:v>
      </x:c>
      <x:c r="B329" s="2" t="str">
        <x:v>TC-03002</x:v>
      </x:c>
      <x:c r="C329" s="12" t="n">
        <x:v>46256</x:v>
      </x:c>
      <x:c r="D329" s="2" t="n">
        <x:v>1</x:v>
      </x:c>
      <x:c r="E329" s="2" t="str">
        <x:v>Trade</x:v>
      </x:c>
      <x:c r="F329" s="14" t="n">
        <x:v>1990</x:v>
      </x:c>
      <x:c r="G329" s="2" t="str">
        <x:v>Simulated</x:v>
      </x:c>
    </x:row>
    <x:row r="330" ht="22" customHeight="1">
      <x:c r="A330" s="2" t="str">
        <x:v>BK-TC-03002-006</x:v>
      </x:c>
      <x:c r="B330" s="2" t="str">
        <x:v>TC-03002</x:v>
      </x:c>
      <x:c r="C330" s="12" t="n">
        <x:v>46296</x:v>
      </x:c>
      <x:c r="D330" s="2" t="n">
        <x:v>1</x:v>
      </x:c>
      <x:c r="E330" s="2" t="str">
        <x:v>Retail</x:v>
      </x:c>
      <x:c r="F330" s="14" t="n">
        <x:v>1990</x:v>
      </x:c>
      <x:c r="G330" s="2" t="str">
        <x:v>Simulated</x:v>
      </x:c>
    </x:row>
    <x:row r="331" ht="22" customHeight="1">
      <x:c r="A331" s="2" t="str">
        <x:v>BK-TC-03002-007</x:v>
      </x:c>
      <x:c r="B331" s="2" t="str">
        <x:v>TC-03002</x:v>
      </x:c>
      <x:c r="C331" s="12" t="n">
        <x:v>46295</x:v>
      </x:c>
      <x:c r="D331" s="2" t="n">
        <x:v>1</x:v>
      </x:c>
      <x:c r="E331" s="2" t="str">
        <x:v>Trade</x:v>
      </x:c>
      <x:c r="F331" s="14" t="n">
        <x:v>1990</x:v>
      </x:c>
      <x:c r="G331" s="2" t="str">
        <x:v>Simulated</x:v>
      </x:c>
    </x:row>
    <x:row r="332" ht="22" customHeight="1">
      <x:c r="A332" s="2" t="str">
        <x:v>BK-TC-03002-008</x:v>
      </x:c>
      <x:c r="B332" s="2" t="str">
        <x:v>TC-03002</x:v>
      </x:c>
      <x:c r="C332" s="12" t="n">
        <x:v>46194</x:v>
      </x:c>
      <x:c r="D332" s="2" t="n">
        <x:v>1</x:v>
      </x:c>
      <x:c r="E332" s="2" t="str">
        <x:v>Trade</x:v>
      </x:c>
      <x:c r="F332" s="14" t="n">
        <x:v>1990</x:v>
      </x:c>
      <x:c r="G332" s="2" t="str">
        <x:v>Simulated</x:v>
      </x:c>
    </x:row>
    <x:row r="333" ht="22" customHeight="1">
      <x:c r="A333" s="2" t="str">
        <x:v>BK-TC-03002-009</x:v>
      </x:c>
      <x:c r="B333" s="2" t="str">
        <x:v>TC-03002</x:v>
      </x:c>
      <x:c r="C333" s="12" t="n">
        <x:v>46261</x:v>
      </x:c>
      <x:c r="D333" s="2" t="n">
        <x:v>1</x:v>
      </x:c>
      <x:c r="E333" s="2" t="str">
        <x:v>Retail</x:v>
      </x:c>
      <x:c r="F333" s="14" t="n">
        <x:v>1990</x:v>
      </x:c>
      <x:c r="G333" s="2" t="str">
        <x:v>Simulated</x:v>
      </x:c>
    </x:row>
    <x:row r="334" ht="22" customHeight="1">
      <x:c r="A334" s="2" t="str">
        <x:v>BK-TC-03002-010</x:v>
      </x:c>
      <x:c r="B334" s="2" t="str">
        <x:v>TC-03002</x:v>
      </x:c>
      <x:c r="C334" s="12" t="n">
        <x:v>46221</x:v>
      </x:c>
      <x:c r="D334" s="2" t="n">
        <x:v>1</x:v>
      </x:c>
      <x:c r="E334" s="2" t="str">
        <x:v>Retail</x:v>
      </x:c>
      <x:c r="F334" s="14" t="n">
        <x:v>1990</x:v>
      </x:c>
      <x:c r="G334" s="2" t="str">
        <x:v>Simulated</x:v>
      </x:c>
    </x:row>
    <x:row r="335" ht="22" customHeight="1">
      <x:c r="A335" s="2" t="str">
        <x:v>BK-TC-03002-011</x:v>
      </x:c>
      <x:c r="B335" s="2" t="str">
        <x:v>TC-03002</x:v>
      </x:c>
      <x:c r="C335" s="12" t="n">
        <x:v>46195</x:v>
      </x:c>
      <x:c r="D335" s="2" t="n">
        <x:v>1</x:v>
      </x:c>
      <x:c r="E335" s="2" t="str">
        <x:v>Trade</x:v>
      </x:c>
      <x:c r="F335" s="14" t="n">
        <x:v>1990</x:v>
      </x:c>
      <x:c r="G335" s="2" t="str">
        <x:v>Simulated</x:v>
      </x:c>
    </x:row>
    <x:row r="336" ht="22" customHeight="1">
      <x:c r="A336" s="2" t="str">
        <x:v>BK-TC-03002-012</x:v>
      </x:c>
      <x:c r="B336" s="2" t="str">
        <x:v>TC-03002</x:v>
      </x:c>
      <x:c r="C336" s="12" t="n">
        <x:v>46297</x:v>
      </x:c>
      <x:c r="D336" s="2" t="n">
        <x:v>1</x:v>
      </x:c>
      <x:c r="E336" s="2" t="str">
        <x:v>Retail</x:v>
      </x:c>
      <x:c r="F336" s="14" t="n">
        <x:v>1990</x:v>
      </x:c>
      <x:c r="G336" s="2" t="str">
        <x:v>Simulated</x:v>
      </x:c>
    </x:row>
    <x:row r="337" ht="22" customHeight="1">
      <x:c r="A337" s="2" t="str">
        <x:v>BK-TC-03002-013</x:v>
      </x:c>
      <x:c r="B337" s="2" t="str">
        <x:v>TC-03002</x:v>
      </x:c>
      <x:c r="C337" s="12" t="n">
        <x:v>46285</x:v>
      </x:c>
      <x:c r="D337" s="2" t="n">
        <x:v>1</x:v>
      </x:c>
      <x:c r="E337" s="2" t="str">
        <x:v>Trade</x:v>
      </x:c>
      <x:c r="F337" s="14" t="n">
        <x:v>1990</x:v>
      </x:c>
      <x:c r="G337" s="2" t="str">
        <x:v>Simulated</x:v>
      </x:c>
    </x:row>
    <x:row r="338" ht="22" customHeight="1">
      <x:c r="A338" s="2" t="str">
        <x:v>BK-TC-03002-014</x:v>
      </x:c>
      <x:c r="B338" s="2" t="str">
        <x:v>TC-03002</x:v>
      </x:c>
      <x:c r="C338" s="12" t="n">
        <x:v>46174</x:v>
      </x:c>
      <x:c r="D338" s="2" t="n">
        <x:v>1</x:v>
      </x:c>
      <x:c r="E338" s="2" t="str">
        <x:v>Retail</x:v>
      </x:c>
      <x:c r="F338" s="14" t="n">
        <x:v>1990</x:v>
      </x:c>
      <x:c r="G338" s="2" t="str">
        <x:v>Simulated</x:v>
      </x:c>
    </x:row>
    <x:row r="339" ht="22" customHeight="1">
      <x:c r="A339" s="2" t="str">
        <x:v>BK-TC-03002-015</x:v>
      </x:c>
      <x:c r="B339" s="2" t="str">
        <x:v>TC-03002</x:v>
      </x:c>
      <x:c r="C339" s="12" t="n">
        <x:v>46144</x:v>
      </x:c>
      <x:c r="D339" s="2" t="n">
        <x:v>1</x:v>
      </x:c>
      <x:c r="E339" s="2" t="str">
        <x:v>Trade</x:v>
      </x:c>
      <x:c r="F339" s="14" t="n">
        <x:v>1990</x:v>
      </x:c>
      <x:c r="G339" s="2" t="str">
        <x:v>Simulated</x:v>
      </x:c>
    </x:row>
    <x:row r="340" ht="22" customHeight="1">
      <x:c r="A340" s="2" t="str">
        <x:v>BK-TC-03002-016</x:v>
      </x:c>
      <x:c r="B340" s="2" t="str">
        <x:v>TC-03002</x:v>
      </x:c>
      <x:c r="C340" s="12" t="n">
        <x:v>46153</x:v>
      </x:c>
      <x:c r="D340" s="2" t="n">
        <x:v>1</x:v>
      </x:c>
      <x:c r="E340" s="2" t="str">
        <x:v>Retail</x:v>
      </x:c>
      <x:c r="F340" s="14" t="n">
        <x:v>1990</x:v>
      </x:c>
      <x:c r="G340" s="2" t="str">
        <x:v>Simulated</x:v>
      </x:c>
    </x:row>
    <x:row r="341" ht="22" customHeight="1">
      <x:c r="A341" s="2" t="str">
        <x:v>BK-TC-03002-017</x:v>
      </x:c>
      <x:c r="B341" s="2" t="str">
        <x:v>TC-03002</x:v>
      </x:c>
      <x:c r="C341" s="12" t="n">
        <x:v>46236</x:v>
      </x:c>
      <x:c r="D341" s="2" t="n">
        <x:v>1</x:v>
      </x:c>
      <x:c r="E341" s="2" t="str">
        <x:v>Trade</x:v>
      </x:c>
      <x:c r="F341" s="14" t="n">
        <x:v>1990</x:v>
      </x:c>
      <x:c r="G341" s="2" t="str">
        <x:v>Simulated</x:v>
      </x:c>
    </x:row>
    <x:row r="342" ht="22" customHeight="1">
      <x:c r="A342" s="2" t="str">
        <x:v>BK-TC-03002-018</x:v>
      </x:c>
      <x:c r="B342" s="2" t="str">
        <x:v>TC-03002</x:v>
      </x:c>
      <x:c r="C342" s="12" t="n">
        <x:v>46133</x:v>
      </x:c>
      <x:c r="D342" s="2" t="n">
        <x:v>1</x:v>
      </x:c>
      <x:c r="E342" s="2" t="str">
        <x:v>Retail</x:v>
      </x:c>
      <x:c r="F342" s="14" t="n">
        <x:v>1990</x:v>
      </x:c>
      <x:c r="G342" s="2" t="str">
        <x:v>Simulated</x:v>
      </x:c>
    </x:row>
    <x:row r="343" ht="22" customHeight="1">
      <x:c r="A343" s="2" t="str">
        <x:v>BK-TC-03002-019</x:v>
      </x:c>
      <x:c r="B343" s="2" t="str">
        <x:v>TC-03002</x:v>
      </x:c>
      <x:c r="C343" s="12" t="n">
        <x:v>46226</x:v>
      </x:c>
      <x:c r="D343" s="2" t="n">
        <x:v>1</x:v>
      </x:c>
      <x:c r="E343" s="2" t="str">
        <x:v>Online</x:v>
      </x:c>
      <x:c r="F343" s="14" t="n">
        <x:v>1990</x:v>
      </x:c>
      <x:c r="G343" s="2" t="str">
        <x:v>Simulated</x:v>
      </x:c>
    </x:row>
    <x:row r="344" ht="22" customHeight="1">
      <x:c r="A344" s="2" t="str">
        <x:v>BK-TC-03002-020</x:v>
      </x:c>
      <x:c r="B344" s="2" t="str">
        <x:v>TC-03002</x:v>
      </x:c>
      <x:c r="C344" s="12" t="n">
        <x:v>46236</x:v>
      </x:c>
      <x:c r="D344" s="2" t="n">
        <x:v>1</x:v>
      </x:c>
      <x:c r="E344" s="2" t="str">
        <x:v>Trade</x:v>
      </x:c>
      <x:c r="F344" s="14" t="n">
        <x:v>1990</x:v>
      </x:c>
      <x:c r="G344" s="2" t="str">
        <x:v>Simulated</x:v>
      </x:c>
    </x:row>
    <x:row r="345" ht="22" customHeight="1">
      <x:c r="A345" s="2" t="str">
        <x:v>BK-TC-03003-001</x:v>
      </x:c>
      <x:c r="B345" s="2" t="str">
        <x:v>TC-03003</x:v>
      </x:c>
      <x:c r="C345" s="12" t="n">
        <x:v>46227</x:v>
      </x:c>
      <x:c r="D345" s="2" t="n">
        <x:v>1</x:v>
      </x:c>
      <x:c r="E345" s="2" t="str">
        <x:v>Online</x:v>
      </x:c>
      <x:c r="F345" s="14" t="n">
        <x:v>1990</x:v>
      </x:c>
      <x:c r="G345" s="2" t="str">
        <x:v>Simulated</x:v>
      </x:c>
    </x:row>
    <x:row r="346" ht="22" customHeight="1">
      <x:c r="A346" s="2" t="str">
        <x:v>BK-TC-03003-002</x:v>
      </x:c>
      <x:c r="B346" s="2" t="str">
        <x:v>TC-03003</x:v>
      </x:c>
      <x:c r="C346" s="12" t="n">
        <x:v>46190</x:v>
      </x:c>
      <x:c r="D346" s="2" t="n">
        <x:v>1</x:v>
      </x:c>
      <x:c r="E346" s="2" t="str">
        <x:v>Retail</x:v>
      </x:c>
      <x:c r="F346" s="14" t="n">
        <x:v>1990</x:v>
      </x:c>
      <x:c r="G346" s="2" t="str">
        <x:v>Simulated</x:v>
      </x:c>
    </x:row>
    <x:row r="347" ht="22" customHeight="1">
      <x:c r="A347" s="2" t="str">
        <x:v>BK-TC-03003-003</x:v>
      </x:c>
      <x:c r="B347" s="2" t="str">
        <x:v>TC-03003</x:v>
      </x:c>
      <x:c r="C347" s="12" t="n">
        <x:v>46169</x:v>
      </x:c>
      <x:c r="D347" s="2" t="n">
        <x:v>1</x:v>
      </x:c>
      <x:c r="E347" s="2" t="str">
        <x:v>Retail</x:v>
      </x:c>
      <x:c r="F347" s="14" t="n">
        <x:v>1990</x:v>
      </x:c>
      <x:c r="G347" s="2" t="str">
        <x:v>Simulated</x:v>
      </x:c>
    </x:row>
    <x:row r="348" ht="22" customHeight="1">
      <x:c r="A348" s="2" t="str">
        <x:v>BK-TC-03003-004</x:v>
      </x:c>
      <x:c r="B348" s="2" t="str">
        <x:v>TC-03003</x:v>
      </x:c>
      <x:c r="C348" s="12" t="n">
        <x:v>46261</x:v>
      </x:c>
      <x:c r="D348" s="2" t="n">
        <x:v>1</x:v>
      </x:c>
      <x:c r="E348" s="2" t="str">
        <x:v>Trade</x:v>
      </x:c>
      <x:c r="F348" s="14" t="n">
        <x:v>1990</x:v>
      </x:c>
      <x:c r="G348" s="2" t="str">
        <x:v>Simulated</x:v>
      </x:c>
    </x:row>
    <x:row r="349" ht="22" customHeight="1">
      <x:c r="A349" s="2" t="str">
        <x:v>BK-TC-03003-005</x:v>
      </x:c>
      <x:c r="B349" s="2" t="str">
        <x:v>TC-03003</x:v>
      </x:c>
      <x:c r="C349" s="12" t="n">
        <x:v>46263</x:v>
      </x:c>
      <x:c r="D349" s="2" t="n">
        <x:v>1</x:v>
      </x:c>
      <x:c r="E349" s="2" t="str">
        <x:v>Online</x:v>
      </x:c>
      <x:c r="F349" s="14" t="n">
        <x:v>1990</x:v>
      </x:c>
      <x:c r="G349" s="2" t="str">
        <x:v>Simulated</x:v>
      </x:c>
    </x:row>
    <x:row r="350" ht="22" customHeight="1">
      <x:c r="A350" s="2" t="str">
        <x:v>BK-TC-03003-006</x:v>
      </x:c>
      <x:c r="B350" s="2" t="str">
        <x:v>TC-03003</x:v>
      </x:c>
      <x:c r="C350" s="12" t="n">
        <x:v>46301</x:v>
      </x:c>
      <x:c r="D350" s="2" t="n">
        <x:v>1</x:v>
      </x:c>
      <x:c r="E350" s="2" t="str">
        <x:v>Trade</x:v>
      </x:c>
      <x:c r="F350" s="14" t="n">
        <x:v>1990</x:v>
      </x:c>
      <x:c r="G350" s="2" t="str">
        <x:v>Simulated</x:v>
      </x:c>
    </x:row>
    <x:row r="351" ht="22" customHeight="1">
      <x:c r="A351" s="2" t="str">
        <x:v>BK-TC-03003-007</x:v>
      </x:c>
      <x:c r="B351" s="2" t="str">
        <x:v>TC-03003</x:v>
      </x:c>
      <x:c r="C351" s="12" t="n">
        <x:v>46203</x:v>
      </x:c>
      <x:c r="D351" s="2" t="n">
        <x:v>1</x:v>
      </x:c>
      <x:c r="E351" s="2" t="str">
        <x:v>Trade</x:v>
      </x:c>
      <x:c r="F351" s="14" t="n">
        <x:v>1990</x:v>
      </x:c>
      <x:c r="G351" s="2" t="str">
        <x:v>Simulated</x:v>
      </x:c>
    </x:row>
    <x:row r="352" ht="22" customHeight="1">
      <x:c r="A352" s="2" t="str">
        <x:v>BK-TC-03003-008</x:v>
      </x:c>
      <x:c r="B352" s="2" t="str">
        <x:v>TC-03003</x:v>
      </x:c>
      <x:c r="C352" s="12" t="n">
        <x:v>46301</x:v>
      </x:c>
      <x:c r="D352" s="2" t="n">
        <x:v>1</x:v>
      </x:c>
      <x:c r="E352" s="2" t="str">
        <x:v>Retail</x:v>
      </x:c>
      <x:c r="F352" s="14" t="n">
        <x:v>1990</x:v>
      </x:c>
      <x:c r="G352" s="2" t="str">
        <x:v>Simulated</x:v>
      </x:c>
    </x:row>
    <x:row r="353" ht="22" customHeight="1">
      <x:c r="A353" s="2" t="str">
        <x:v>BK-TC-03003-009</x:v>
      </x:c>
      <x:c r="B353" s="2" t="str">
        <x:v>TC-03003</x:v>
      </x:c>
      <x:c r="C353" s="12" t="n">
        <x:v>46203</x:v>
      </x:c>
      <x:c r="D353" s="2" t="n">
        <x:v>1</x:v>
      </x:c>
      <x:c r="E353" s="2" t="str">
        <x:v>Online</x:v>
      </x:c>
      <x:c r="F353" s="14" t="n">
        <x:v>1990</x:v>
      </x:c>
      <x:c r="G353" s="2" t="str">
        <x:v>Simulated</x:v>
      </x:c>
    </x:row>
    <x:row r="354" ht="22" customHeight="1">
      <x:c r="A354" s="2" t="str">
        <x:v>BK-TC-03003-010</x:v>
      </x:c>
      <x:c r="B354" s="2" t="str">
        <x:v>TC-03003</x:v>
      </x:c>
      <x:c r="C354" s="12" t="n">
        <x:v>46151</x:v>
      </x:c>
      <x:c r="D354" s="2" t="n">
        <x:v>1</x:v>
      </x:c>
      <x:c r="E354" s="2" t="str">
        <x:v>Retail</x:v>
      </x:c>
      <x:c r="F354" s="14" t="n">
        <x:v>1990</x:v>
      </x:c>
      <x:c r="G354" s="2" t="str">
        <x:v>Simulated</x:v>
      </x:c>
    </x:row>
    <x:row r="355" ht="22" customHeight="1">
      <x:c r="A355" s="2" t="str">
        <x:v>BK-TC-03003-011</x:v>
      </x:c>
      <x:c r="B355" s="2" t="str">
        <x:v>TC-03003</x:v>
      </x:c>
      <x:c r="C355" s="12" t="n">
        <x:v>46226</x:v>
      </x:c>
      <x:c r="D355" s="2" t="n">
        <x:v>1</x:v>
      </x:c>
      <x:c r="E355" s="2" t="str">
        <x:v>Retail</x:v>
      </x:c>
      <x:c r="F355" s="14" t="n">
        <x:v>1990</x:v>
      </x:c>
      <x:c r="G355" s="2" t="str">
        <x:v>Simulated</x:v>
      </x:c>
    </x:row>
    <x:row r="356" ht="22" customHeight="1">
      <x:c r="A356" s="2" t="str">
        <x:v>BK-TC-03004-001</x:v>
      </x:c>
      <x:c r="B356" s="2" t="str">
        <x:v>TC-03004</x:v>
      </x:c>
      <x:c r="C356" s="12" t="n">
        <x:v>46230</x:v>
      </x:c>
      <x:c r="D356" s="2" t="n">
        <x:v>1</x:v>
      </x:c>
      <x:c r="E356" s="2" t="str">
        <x:v>Online</x:v>
      </x:c>
      <x:c r="F356" s="14" t="n">
        <x:v>1990</x:v>
      </x:c>
      <x:c r="G356" s="2" t="str">
        <x:v>Simulated</x:v>
      </x:c>
    </x:row>
    <x:row r="357" ht="22" customHeight="1">
      <x:c r="A357" s="2" t="str">
        <x:v>BK-TC-03004-002</x:v>
      </x:c>
      <x:c r="B357" s="2" t="str">
        <x:v>TC-03004</x:v>
      </x:c>
      <x:c r="C357" s="12" t="n">
        <x:v>46198</x:v>
      </x:c>
      <x:c r="D357" s="2" t="n">
        <x:v>1</x:v>
      </x:c>
      <x:c r="E357" s="2" t="str">
        <x:v>Trade</x:v>
      </x:c>
      <x:c r="F357" s="14" t="n">
        <x:v>1990</x:v>
      </x:c>
      <x:c r="G357" s="2" t="str">
        <x:v>Simulated</x:v>
      </x:c>
    </x:row>
    <x:row r="358" ht="22" customHeight="1">
      <x:c r="A358" s="2" t="str">
        <x:v>BK-TC-03004-003</x:v>
      </x:c>
      <x:c r="B358" s="2" t="str">
        <x:v>TC-03004</x:v>
      </x:c>
      <x:c r="C358" s="12" t="n">
        <x:v>46194</x:v>
      </x:c>
      <x:c r="D358" s="2" t="n">
        <x:v>1</x:v>
      </x:c>
      <x:c r="E358" s="2" t="str">
        <x:v>Online</x:v>
      </x:c>
      <x:c r="F358" s="14" t="n">
        <x:v>1990</x:v>
      </x:c>
      <x:c r="G358" s="2" t="str">
        <x:v>Simulated</x:v>
      </x:c>
    </x:row>
    <x:row r="359" ht="22" customHeight="1">
      <x:c r="A359" s="2" t="str">
        <x:v>BK-TC-03004-004</x:v>
      </x:c>
      <x:c r="B359" s="2" t="str">
        <x:v>TC-03004</x:v>
      </x:c>
      <x:c r="C359" s="12" t="n">
        <x:v>46172</x:v>
      </x:c>
      <x:c r="D359" s="2" t="n">
        <x:v>1</x:v>
      </x:c>
      <x:c r="E359" s="2" t="str">
        <x:v>Retail</x:v>
      </x:c>
      <x:c r="F359" s="14" t="n">
        <x:v>1990</x:v>
      </x:c>
      <x:c r="G359" s="2" t="str">
        <x:v>Simulated</x:v>
      </x:c>
    </x:row>
    <x:row r="360" ht="22" customHeight="1">
      <x:c r="A360" s="2" t="str">
        <x:v>BK-TC-03004-005</x:v>
      </x:c>
      <x:c r="B360" s="2" t="str">
        <x:v>TC-03004</x:v>
      </x:c>
      <x:c r="C360" s="12" t="n">
        <x:v>46245</x:v>
      </x:c>
      <x:c r="D360" s="2" t="n">
        <x:v>1</x:v>
      </x:c>
      <x:c r="E360" s="2" t="str">
        <x:v>Online</x:v>
      </x:c>
      <x:c r="F360" s="14" t="n">
        <x:v>1990</x:v>
      </x:c>
      <x:c r="G360" s="2" t="str">
        <x:v>Simulated</x:v>
      </x:c>
    </x:row>
    <x:row r="361" ht="22" customHeight="1">
      <x:c r="A361" s="2" t="str">
        <x:v>BK-TC-03004-006</x:v>
      </x:c>
      <x:c r="B361" s="2" t="str">
        <x:v>TC-03004</x:v>
      </x:c>
      <x:c r="C361" s="12" t="n">
        <x:v>46197</x:v>
      </x:c>
      <x:c r="D361" s="2" t="n">
        <x:v>1</x:v>
      </x:c>
      <x:c r="E361" s="2" t="str">
        <x:v>Online</x:v>
      </x:c>
      <x:c r="F361" s="14" t="n">
        <x:v>1990</x:v>
      </x:c>
      <x:c r="G361" s="2" t="str">
        <x:v>Simulated</x:v>
      </x:c>
    </x:row>
    <x:row r="362" ht="22" customHeight="1">
      <x:c r="A362" s="2" t="str">
        <x:v>BK-TC-03004-007</x:v>
      </x:c>
      <x:c r="B362" s="2" t="str">
        <x:v>TC-03004</x:v>
      </x:c>
      <x:c r="C362" s="12" t="n">
        <x:v>46289</x:v>
      </x:c>
      <x:c r="D362" s="2" t="n">
        <x:v>1</x:v>
      </x:c>
      <x:c r="E362" s="2" t="str">
        <x:v>Trade</x:v>
      </x:c>
      <x:c r="F362" s="14" t="n">
        <x:v>1990</x:v>
      </x:c>
      <x:c r="G362" s="2" t="str">
        <x:v>Simulated</x:v>
      </x:c>
    </x:row>
    <x:row r="363" ht="22" customHeight="1">
      <x:c r="A363" s="2" t="str">
        <x:v>BK-TC-03004-008</x:v>
      </x:c>
      <x:c r="B363" s="2" t="str">
        <x:v>TC-03004</x:v>
      </x:c>
      <x:c r="C363" s="12" t="n">
        <x:v>46279</x:v>
      </x:c>
      <x:c r="D363" s="2" t="n">
        <x:v>1</x:v>
      </x:c>
      <x:c r="E363" s="2" t="str">
        <x:v>Trade</x:v>
      </x:c>
      <x:c r="F363" s="14" t="n">
        <x:v>1990</x:v>
      </x:c>
      <x:c r="G363" s="2" t="str">
        <x:v>Simulated</x:v>
      </x:c>
    </x:row>
    <x:row r="364" ht="22" customHeight="1">
      <x:c r="A364" s="2" t="str">
        <x:v>BK-TC-03004-009</x:v>
      </x:c>
      <x:c r="B364" s="2" t="str">
        <x:v>TC-03004</x:v>
      </x:c>
      <x:c r="C364" s="12" t="n">
        <x:v>46234</x:v>
      </x:c>
      <x:c r="D364" s="2" t="n">
        <x:v>1</x:v>
      </x:c>
      <x:c r="E364" s="2" t="str">
        <x:v>Online</x:v>
      </x:c>
      <x:c r="F364" s="14" t="n">
        <x:v>1990</x:v>
      </x:c>
      <x:c r="G364" s="2" t="str">
        <x:v>Simulated</x:v>
      </x:c>
    </x:row>
    <x:row r="365" ht="22" customHeight="1">
      <x:c r="A365" s="2" t="str">
        <x:v>BK-TC-03004-010</x:v>
      </x:c>
      <x:c r="B365" s="2" t="str">
        <x:v>TC-03004</x:v>
      </x:c>
      <x:c r="C365" s="12" t="n">
        <x:v>46303</x:v>
      </x:c>
      <x:c r="D365" s="2" t="n">
        <x:v>1</x:v>
      </x:c>
      <x:c r="E365" s="2" t="str">
        <x:v>Retail</x:v>
      </x:c>
      <x:c r="F365" s="14" t="n">
        <x:v>1990</x:v>
      </x:c>
      <x:c r="G365" s="2" t="str">
        <x:v>Simulated</x:v>
      </x:c>
    </x:row>
    <x:row r="366" ht="22" customHeight="1">
      <x:c r="A366" s="2" t="str">
        <x:v>BK-TC-03004-011</x:v>
      </x:c>
      <x:c r="B366" s="2" t="str">
        <x:v>TC-03004</x:v>
      </x:c>
      <x:c r="C366" s="12" t="n">
        <x:v>46179</x:v>
      </x:c>
      <x:c r="D366" s="2" t="n">
        <x:v>1</x:v>
      </x:c>
      <x:c r="E366" s="2" t="str">
        <x:v>Trade</x:v>
      </x:c>
      <x:c r="F366" s="14" t="n">
        <x:v>1990</x:v>
      </x:c>
      <x:c r="G366" s="2" t="str">
        <x:v>Simulated</x:v>
      </x:c>
    </x:row>
    <x:row r="367" ht="22" customHeight="1">
      <x:c r="A367" s="2" t="str">
        <x:v>BK-TC-03005-001</x:v>
      </x:c>
      <x:c r="B367" s="2" t="str">
        <x:v>TC-03005</x:v>
      </x:c>
      <x:c r="C367" s="12" t="n">
        <x:v>46198</x:v>
      </x:c>
      <x:c r="D367" s="2" t="n">
        <x:v>1</x:v>
      </x:c>
      <x:c r="E367" s="2" t="str">
        <x:v>Online</x:v>
      </x:c>
      <x:c r="F367" s="14" t="n">
        <x:v>1990</x:v>
      </x:c>
      <x:c r="G367" s="2" t="str">
        <x:v>Simulated</x:v>
      </x:c>
    </x:row>
    <x:row r="368" ht="22" customHeight="1">
      <x:c r="A368" s="2" t="str">
        <x:v>BK-TC-03005-002</x:v>
      </x:c>
      <x:c r="B368" s="2" t="str">
        <x:v>TC-03005</x:v>
      </x:c>
      <x:c r="C368" s="12" t="n">
        <x:v>46189</x:v>
      </x:c>
      <x:c r="D368" s="2" t="n">
        <x:v>1</x:v>
      </x:c>
      <x:c r="E368" s="2" t="str">
        <x:v>Trade</x:v>
      </x:c>
      <x:c r="F368" s="14" t="n">
        <x:v>1990</x:v>
      </x:c>
      <x:c r="G368" s="2" t="str">
        <x:v>Simulated</x:v>
      </x:c>
    </x:row>
    <x:row r="369" ht="22" customHeight="1">
      <x:c r="A369" s="2" t="str">
        <x:v>BK-TC-03005-003</x:v>
      </x:c>
      <x:c r="B369" s="2" t="str">
        <x:v>TC-03005</x:v>
      </x:c>
      <x:c r="C369" s="12" t="n">
        <x:v>46285</x:v>
      </x:c>
      <x:c r="D369" s="2" t="n">
        <x:v>1</x:v>
      </x:c>
      <x:c r="E369" s="2" t="str">
        <x:v>Online</x:v>
      </x:c>
      <x:c r="F369" s="14" t="n">
        <x:v>1990</x:v>
      </x:c>
      <x:c r="G369" s="2" t="str">
        <x:v>Simulated</x:v>
      </x:c>
    </x:row>
    <x:row r="370" ht="22" customHeight="1">
      <x:c r="A370" s="2" t="str">
        <x:v>BK-TC-03005-004</x:v>
      </x:c>
      <x:c r="B370" s="2" t="str">
        <x:v>TC-03005</x:v>
      </x:c>
      <x:c r="C370" s="12" t="n">
        <x:v>46300</x:v>
      </x:c>
      <x:c r="D370" s="2" t="n">
        <x:v>1</x:v>
      </x:c>
      <x:c r="E370" s="2" t="str">
        <x:v>Retail</x:v>
      </x:c>
      <x:c r="F370" s="14" t="n">
        <x:v>1990</x:v>
      </x:c>
      <x:c r="G370" s="2" t="str">
        <x:v>Simulated</x:v>
      </x:c>
    </x:row>
    <x:row r="371" ht="22" customHeight="1">
      <x:c r="A371" s="2" t="str">
        <x:v>BK-TC-03005-005</x:v>
      </x:c>
      <x:c r="B371" s="2" t="str">
        <x:v>TC-03005</x:v>
      </x:c>
      <x:c r="C371" s="12" t="n">
        <x:v>46210</x:v>
      </x:c>
      <x:c r="D371" s="2" t="n">
        <x:v>1</x:v>
      </x:c>
      <x:c r="E371" s="2" t="str">
        <x:v>Trade</x:v>
      </x:c>
      <x:c r="F371" s="14" t="n">
        <x:v>1990</x:v>
      </x:c>
      <x:c r="G371" s="2" t="str">
        <x:v>Simulated</x:v>
      </x:c>
    </x:row>
    <x:row r="372" ht="22" customHeight="1">
      <x:c r="A372" s="2" t="str">
        <x:v>BK-TC-03005-006</x:v>
      </x:c>
      <x:c r="B372" s="2" t="str">
        <x:v>TC-03005</x:v>
      </x:c>
      <x:c r="C372" s="12" t="n">
        <x:v>46240</x:v>
      </x:c>
      <x:c r="D372" s="2" t="n">
        <x:v>1</x:v>
      </x:c>
      <x:c r="E372" s="2" t="str">
        <x:v>Online</x:v>
      </x:c>
      <x:c r="F372" s="14" t="n">
        <x:v>1990</x:v>
      </x:c>
      <x:c r="G372" s="2" t="str">
        <x:v>Simulated</x:v>
      </x:c>
    </x:row>
    <x:row r="373" ht="22" customHeight="1">
      <x:c r="A373" s="2" t="str">
        <x:v>BK-TC-03005-007</x:v>
      </x:c>
      <x:c r="B373" s="2" t="str">
        <x:v>TC-03005</x:v>
      </x:c>
      <x:c r="C373" s="12" t="n">
        <x:v>46235</x:v>
      </x:c>
      <x:c r="D373" s="2" t="n">
        <x:v>1</x:v>
      </x:c>
      <x:c r="E373" s="2" t="str">
        <x:v>Retail</x:v>
      </x:c>
      <x:c r="F373" s="14" t="n">
        <x:v>1990</x:v>
      </x:c>
      <x:c r="G373" s="2" t="str">
        <x:v>Simulated</x:v>
      </x:c>
    </x:row>
    <x:row r="374" ht="22" customHeight="1">
      <x:c r="A374" s="2" t="str">
        <x:v>BK-TC-03005-008</x:v>
      </x:c>
      <x:c r="B374" s="2" t="str">
        <x:v>TC-03005</x:v>
      </x:c>
      <x:c r="C374" s="12" t="n">
        <x:v>46265</x:v>
      </x:c>
      <x:c r="D374" s="2" t="n">
        <x:v>1</x:v>
      </x:c>
      <x:c r="E374" s="2" t="str">
        <x:v>Online</x:v>
      </x:c>
      <x:c r="F374" s="14" t="n">
        <x:v>1990</x:v>
      </x:c>
      <x:c r="G374" s="2" t="str">
        <x:v>Simulated</x:v>
      </x:c>
    </x:row>
    <x:row r="375" ht="22" customHeight="1">
      <x:c r="A375" s="2" t="str">
        <x:v>BK-TC-03005-009</x:v>
      </x:c>
      <x:c r="B375" s="2" t="str">
        <x:v>TC-03005</x:v>
      </x:c>
      <x:c r="C375" s="12" t="n">
        <x:v>46263</x:v>
      </x:c>
      <x:c r="D375" s="2" t="n">
        <x:v>1</x:v>
      </x:c>
      <x:c r="E375" s="2" t="str">
        <x:v>Trade</x:v>
      </x:c>
      <x:c r="F375" s="14" t="n">
        <x:v>1990</x:v>
      </x:c>
      <x:c r="G375" s="2" t="str">
        <x:v>Simulated</x:v>
      </x:c>
    </x:row>
    <x:row r="376" ht="22" customHeight="1">
      <x:c r="A376" s="2" t="str">
        <x:v>BK-TC-03005-010</x:v>
      </x:c>
      <x:c r="B376" s="2" t="str">
        <x:v>TC-03005</x:v>
      </x:c>
      <x:c r="C376" s="12" t="n">
        <x:v>46209</x:v>
      </x:c>
      <x:c r="D376" s="2" t="n">
        <x:v>1</x:v>
      </x:c>
      <x:c r="E376" s="2" t="str">
        <x:v>Online</x:v>
      </x:c>
      <x:c r="F376" s="14" t="n">
        <x:v>1990</x:v>
      </x:c>
      <x:c r="G376" s="2" t="str">
        <x:v>Simulated</x:v>
      </x:c>
    </x:row>
    <x:row r="377" ht="22" customHeight="1">
      <x:c r="A377" s="2" t="str">
        <x:v>BK-TC-03005-011</x:v>
      </x:c>
      <x:c r="B377" s="2" t="str">
        <x:v>TC-03005</x:v>
      </x:c>
      <x:c r="C377" s="12" t="n">
        <x:v>46298</x:v>
      </x:c>
      <x:c r="D377" s="2" t="n">
        <x:v>1</x:v>
      </x:c>
      <x:c r="E377" s="2" t="str">
        <x:v>Online</x:v>
      </x:c>
      <x:c r="F377" s="14" t="n">
        <x:v>1990</x:v>
      </x:c>
      <x:c r="G377" s="2" t="str">
        <x:v>Simulated</x:v>
      </x:c>
    </x:row>
    <x:row r="378" ht="22" customHeight="1">
      <x:c r="A378" s="2" t="str">
        <x:v>BK-TC-03006-001</x:v>
      </x:c>
      <x:c r="B378" s="2" t="str">
        <x:v>TC-03006</x:v>
      </x:c>
      <x:c r="C378" s="12" t="n">
        <x:v>46252</x:v>
      </x:c>
      <x:c r="D378" s="2" t="n">
        <x:v>1</x:v>
      </x:c>
      <x:c r="E378" s="2" t="str">
        <x:v>Trade</x:v>
      </x:c>
      <x:c r="F378" s="14" t="n">
        <x:v>1990</x:v>
      </x:c>
      <x:c r="G378" s="2" t="str">
        <x:v>Simulated</x:v>
      </x:c>
    </x:row>
    <x:row r="379" ht="22" customHeight="1">
      <x:c r="A379" s="2" t="str">
        <x:v>BK-TC-03006-002</x:v>
      </x:c>
      <x:c r="B379" s="2" t="str">
        <x:v>TC-03006</x:v>
      </x:c>
      <x:c r="C379" s="12" t="n">
        <x:v>46246</x:v>
      </x:c>
      <x:c r="D379" s="2" t="n">
        <x:v>1</x:v>
      </x:c>
      <x:c r="E379" s="2" t="str">
        <x:v>Online</x:v>
      </x:c>
      <x:c r="F379" s="14" t="n">
        <x:v>1990</x:v>
      </x:c>
      <x:c r="G379" s="2" t="str">
        <x:v>Simulated</x:v>
      </x:c>
    </x:row>
    <x:row r="380" ht="22" customHeight="1">
      <x:c r="A380" s="2" t="str">
        <x:v>BK-TC-03006-003</x:v>
      </x:c>
      <x:c r="B380" s="2" t="str">
        <x:v>TC-03006</x:v>
      </x:c>
      <x:c r="C380" s="12" t="n">
        <x:v>46231</x:v>
      </x:c>
      <x:c r="D380" s="2" t="n">
        <x:v>1</x:v>
      </x:c>
      <x:c r="E380" s="2" t="str">
        <x:v>Online</x:v>
      </x:c>
      <x:c r="F380" s="14" t="n">
        <x:v>1990</x:v>
      </x:c>
      <x:c r="G380" s="2" t="str">
        <x:v>Simulated</x:v>
      </x:c>
    </x:row>
    <x:row r="381" ht="22" customHeight="1">
      <x:c r="A381" s="2" t="str">
        <x:v>BK-TC-03006-004</x:v>
      </x:c>
      <x:c r="B381" s="2" t="str">
        <x:v>TC-03006</x:v>
      </x:c>
      <x:c r="C381" s="12" t="n">
        <x:v>46297</x:v>
      </x:c>
      <x:c r="D381" s="2" t="n">
        <x:v>1</x:v>
      </x:c>
      <x:c r="E381" s="2" t="str">
        <x:v>Retail</x:v>
      </x:c>
      <x:c r="F381" s="14" t="n">
        <x:v>1990</x:v>
      </x:c>
      <x:c r="G381" s="2" t="str">
        <x:v>Simulated</x:v>
      </x:c>
    </x:row>
    <x:row r="382" ht="22" customHeight="1">
      <x:c r="A382" s="2" t="str">
        <x:v>BK-TC-03006-005</x:v>
      </x:c>
      <x:c r="B382" s="2" t="str">
        <x:v>TC-03006</x:v>
      </x:c>
      <x:c r="C382" s="12" t="n">
        <x:v>46216</x:v>
      </x:c>
      <x:c r="D382" s="2" t="n">
        <x:v>1</x:v>
      </x:c>
      <x:c r="E382" s="2" t="str">
        <x:v>Online</x:v>
      </x:c>
      <x:c r="F382" s="14" t="n">
        <x:v>1990</x:v>
      </x:c>
      <x:c r="G382" s="2" t="str">
        <x:v>Simulated</x:v>
      </x:c>
    </x:row>
    <x:row r="383" ht="22" customHeight="1">
      <x:c r="A383" s="2" t="str">
        <x:v>BK-TC-03006-006</x:v>
      </x:c>
      <x:c r="B383" s="2" t="str">
        <x:v>TC-03006</x:v>
      </x:c>
      <x:c r="C383" s="12" t="n">
        <x:v>46297</x:v>
      </x:c>
      <x:c r="D383" s="2" t="n">
        <x:v>1</x:v>
      </x:c>
      <x:c r="E383" s="2" t="str">
        <x:v>Retail</x:v>
      </x:c>
      <x:c r="F383" s="14" t="n">
        <x:v>1990</x:v>
      </x:c>
      <x:c r="G383" s="2" t="str">
        <x:v>Simulated</x:v>
      </x:c>
    </x:row>
    <x:row r="384" ht="22" customHeight="1">
      <x:c r="A384" s="2" t="str">
        <x:v>BK-TC-03006-007</x:v>
      </x:c>
      <x:c r="B384" s="2" t="str">
        <x:v>TC-03006</x:v>
      </x:c>
      <x:c r="C384" s="12" t="n">
        <x:v>46201</x:v>
      </x:c>
      <x:c r="D384" s="2" t="n">
        <x:v>1</x:v>
      </x:c>
      <x:c r="E384" s="2" t="str">
        <x:v>Retail</x:v>
      </x:c>
      <x:c r="F384" s="14" t="n">
        <x:v>1990</x:v>
      </x:c>
      <x:c r="G384" s="2" t="str">
        <x:v>Simulated</x:v>
      </x:c>
    </x:row>
    <x:row r="385" ht="22" customHeight="1">
      <x:c r="A385" s="2" t="str">
        <x:v>BK-TC-03006-008</x:v>
      </x:c>
      <x:c r="B385" s="2" t="str">
        <x:v>TC-03006</x:v>
      </x:c>
      <x:c r="C385" s="12" t="n">
        <x:v>46203</x:v>
      </x:c>
      <x:c r="D385" s="2" t="n">
        <x:v>1</x:v>
      </x:c>
      <x:c r="E385" s="2" t="str">
        <x:v>Online</x:v>
      </x:c>
      <x:c r="F385" s="14" t="n">
        <x:v>1990</x:v>
      </x:c>
      <x:c r="G385" s="2" t="str">
        <x:v>Simulated</x:v>
      </x:c>
    </x:row>
    <x:row r="386" ht="22" customHeight="1">
      <x:c r="A386" s="2" t="str">
        <x:v>BK-TC-03006-009</x:v>
      </x:c>
      <x:c r="B386" s="2" t="str">
        <x:v>TC-03006</x:v>
      </x:c>
      <x:c r="C386" s="12" t="n">
        <x:v>46208</x:v>
      </x:c>
      <x:c r="D386" s="2" t="n">
        <x:v>1</x:v>
      </x:c>
      <x:c r="E386" s="2" t="str">
        <x:v>Trade</x:v>
      </x:c>
      <x:c r="F386" s="14" t="n">
        <x:v>1990</x:v>
      </x:c>
      <x:c r="G386" s="2" t="str">
        <x:v>Simulated</x:v>
      </x:c>
    </x:row>
    <x:row r="387" ht="22" customHeight="1">
      <x:c r="A387" s="2" t="str">
        <x:v>BK-TC-03006-010</x:v>
      </x:c>
      <x:c r="B387" s="2" t="str">
        <x:v>TC-03006</x:v>
      </x:c>
      <x:c r="C387" s="12" t="n">
        <x:v>46268</x:v>
      </x:c>
      <x:c r="D387" s="2" t="n">
        <x:v>1</x:v>
      </x:c>
      <x:c r="E387" s="2" t="str">
        <x:v>Trade</x:v>
      </x:c>
      <x:c r="F387" s="14" t="n">
        <x:v>1990</x:v>
      </x:c>
      <x:c r="G387" s="2" t="str">
        <x:v>Simulated</x:v>
      </x:c>
    </x:row>
    <x:row r="388" ht="22" customHeight="1">
      <x:c r="A388" s="2" t="str">
        <x:v>BK-TC-03007-001</x:v>
      </x:c>
      <x:c r="B388" s="2" t="str">
        <x:v>TC-03007</x:v>
      </x:c>
      <x:c r="C388" s="12" t="n">
        <x:v>46238</x:v>
      </x:c>
      <x:c r="D388" s="2" t="n">
        <x:v>1</x:v>
      </x:c>
      <x:c r="E388" s="2" t="str">
        <x:v>Retail</x:v>
      </x:c>
      <x:c r="F388" s="14" t="n">
        <x:v>1990</x:v>
      </x:c>
      <x:c r="G388" s="2" t="str">
        <x:v>Simulated</x:v>
      </x:c>
    </x:row>
    <x:row r="389" ht="22" customHeight="1">
      <x:c r="A389" s="2" t="str">
        <x:v>BK-TC-03007-002</x:v>
      </x:c>
      <x:c r="B389" s="2" t="str">
        <x:v>TC-03007</x:v>
      </x:c>
      <x:c r="C389" s="12" t="n">
        <x:v>46228</x:v>
      </x:c>
      <x:c r="D389" s="2" t="n">
        <x:v>1</x:v>
      </x:c>
      <x:c r="E389" s="2" t="str">
        <x:v>Online</x:v>
      </x:c>
      <x:c r="F389" s="14" t="n">
        <x:v>1990</x:v>
      </x:c>
      <x:c r="G389" s="2" t="str">
        <x:v>Simulated</x:v>
      </x:c>
    </x:row>
    <x:row r="390" ht="22" customHeight="1">
      <x:c r="A390" s="2" t="str">
        <x:v>BK-TC-03007-003</x:v>
      </x:c>
      <x:c r="B390" s="2" t="str">
        <x:v>TC-03007</x:v>
      </x:c>
      <x:c r="C390" s="12" t="n">
        <x:v>46240</x:v>
      </x:c>
      <x:c r="D390" s="2" t="n">
        <x:v>1</x:v>
      </x:c>
      <x:c r="E390" s="2" t="str">
        <x:v>Online</x:v>
      </x:c>
      <x:c r="F390" s="14" t="n">
        <x:v>1990</x:v>
      </x:c>
      <x:c r="G390" s="2" t="str">
        <x:v>Simulated</x:v>
      </x:c>
    </x:row>
    <x:row r="391" ht="22" customHeight="1">
      <x:c r="A391" s="2" t="str">
        <x:v>BK-TC-03007-004</x:v>
      </x:c>
      <x:c r="B391" s="2" t="str">
        <x:v>TC-03007</x:v>
      </x:c>
      <x:c r="C391" s="12" t="n">
        <x:v>46248</x:v>
      </x:c>
      <x:c r="D391" s="2" t="n">
        <x:v>1</x:v>
      </x:c>
      <x:c r="E391" s="2" t="str">
        <x:v>Retail</x:v>
      </x:c>
      <x:c r="F391" s="14" t="n">
        <x:v>1990</x:v>
      </x:c>
      <x:c r="G391" s="2" t="str">
        <x:v>Simulated</x:v>
      </x:c>
    </x:row>
    <x:row r="392" ht="22" customHeight="1">
      <x:c r="A392" s="2" t="str">
        <x:v>BK-TC-03007-005</x:v>
      </x:c>
      <x:c r="B392" s="2" t="str">
        <x:v>TC-03007</x:v>
      </x:c>
      <x:c r="C392" s="12" t="n">
        <x:v>46271</x:v>
      </x:c>
      <x:c r="D392" s="2" t="n">
        <x:v>1</x:v>
      </x:c>
      <x:c r="E392" s="2" t="str">
        <x:v>Online</x:v>
      </x:c>
      <x:c r="F392" s="14" t="n">
        <x:v>1990</x:v>
      </x:c>
      <x:c r="G392" s="2" t="str">
        <x:v>Simulated</x:v>
      </x:c>
    </x:row>
    <x:row r="393" ht="22" customHeight="1">
      <x:c r="A393" s="2" t="str">
        <x:v>BK-TC-03007-006</x:v>
      </x:c>
      <x:c r="B393" s="2" t="str">
        <x:v>TC-03007</x:v>
      </x:c>
      <x:c r="C393" s="12" t="n">
        <x:v>46222</x:v>
      </x:c>
      <x:c r="D393" s="2" t="n">
        <x:v>1</x:v>
      </x:c>
      <x:c r="E393" s="2" t="str">
        <x:v>Retail</x:v>
      </x:c>
      <x:c r="F393" s="14" t="n">
        <x:v>1990</x:v>
      </x:c>
      <x:c r="G393" s="2" t="str">
        <x:v>Simulated</x:v>
      </x:c>
    </x:row>
    <x:row r="394" ht="22" customHeight="1">
      <x:c r="A394" s="2" t="str">
        <x:v>BK-TC-03008-001</x:v>
      </x:c>
      <x:c r="B394" s="2" t="str">
        <x:v>TC-03008</x:v>
      </x:c>
      <x:c r="C394" s="12" t="n">
        <x:v>46290</x:v>
      </x:c>
      <x:c r="D394" s="2" t="n">
        <x:v>1</x:v>
      </x:c>
      <x:c r="E394" s="2" t="str">
        <x:v>Online</x:v>
      </x:c>
      <x:c r="F394" s="14" t="n">
        <x:v>1990</x:v>
      </x:c>
      <x:c r="G394" s="2" t="str">
        <x:v>Simulated</x:v>
      </x:c>
    </x:row>
    <x:row r="395" ht="22" customHeight="1">
      <x:c r="A395" s="2" t="str">
        <x:v>BK-TC-03008-002</x:v>
      </x:c>
      <x:c r="B395" s="2" t="str">
        <x:v>TC-03008</x:v>
      </x:c>
      <x:c r="C395" s="12" t="n">
        <x:v>46272</x:v>
      </x:c>
      <x:c r="D395" s="2" t="n">
        <x:v>1</x:v>
      </x:c>
      <x:c r="E395" s="2" t="str">
        <x:v>Online</x:v>
      </x:c>
      <x:c r="F395" s="14" t="n">
        <x:v>1990</x:v>
      </x:c>
      <x:c r="G395" s="2" t="str">
        <x:v>Simulated</x:v>
      </x:c>
    </x:row>
    <x:row r="396" ht="22" customHeight="1">
      <x:c r="A396" s="2" t="str">
        <x:v>BK-TC-03008-003</x:v>
      </x:c>
      <x:c r="B396" s="2" t="str">
        <x:v>TC-03008</x:v>
      </x:c>
      <x:c r="C396" s="12" t="n">
        <x:v>46276</x:v>
      </x:c>
      <x:c r="D396" s="2" t="n">
        <x:v>1</x:v>
      </x:c>
      <x:c r="E396" s="2" t="str">
        <x:v>Trade</x:v>
      </x:c>
      <x:c r="F396" s="14" t="n">
        <x:v>1990</x:v>
      </x:c>
      <x:c r="G396" s="2" t="str">
        <x:v>Simulated</x:v>
      </x:c>
    </x:row>
    <x:row r="397" ht="22" customHeight="1">
      <x:c r="A397" s="2" t="str">
        <x:v>BK-TC-03008-004</x:v>
      </x:c>
      <x:c r="B397" s="2" t="str">
        <x:v>TC-03008</x:v>
      </x:c>
      <x:c r="C397" s="12" t="n">
        <x:v>46268</x:v>
      </x:c>
      <x:c r="D397" s="2" t="n">
        <x:v>1</x:v>
      </x:c>
      <x:c r="E397" s="2" t="str">
        <x:v>Online</x:v>
      </x:c>
      <x:c r="F397" s="14" t="n">
        <x:v>1990</x:v>
      </x:c>
      <x:c r="G397" s="2" t="str">
        <x:v>Simulated</x:v>
      </x:c>
    </x:row>
    <x:row r="398" ht="22" customHeight="1">
      <x:c r="A398" s="2" t="str">
        <x:v>BK-TC-03008-005</x:v>
      </x:c>
      <x:c r="B398" s="2" t="str">
        <x:v>TC-03008</x:v>
      </x:c>
      <x:c r="C398" s="12" t="n">
        <x:v>46286</x:v>
      </x:c>
      <x:c r="D398" s="2" t="n">
        <x:v>1</x:v>
      </x:c>
      <x:c r="E398" s="2" t="str">
        <x:v>Online</x:v>
      </x:c>
      <x:c r="F398" s="14" t="n">
        <x:v>1990</x:v>
      </x:c>
      <x:c r="G398" s="2" t="str">
        <x:v>Simulated</x:v>
      </x:c>
    </x:row>
    <x:row r="399" ht="22" customHeight="1">
      <x:c r="A399" s="2" t="str">
        <x:v>BK-TC-04001-001</x:v>
      </x:c>
      <x:c r="B399" s="2" t="str">
        <x:v>TC-04001</x:v>
      </x:c>
      <x:c r="C399" s="12" t="n">
        <x:v>46276</x:v>
      </x:c>
      <x:c r="D399" s="2" t="n">
        <x:v>1</x:v>
      </x:c>
      <x:c r="E399" s="2" t="str">
        <x:v>Trade</x:v>
      </x:c>
      <x:c r="F399" s="14" t="n">
        <x:v>1290</x:v>
      </x:c>
      <x:c r="G399" s="2" t="str">
        <x:v>Simulated</x:v>
      </x:c>
    </x:row>
    <x:row r="400" ht="22" customHeight="1">
      <x:c r="A400" s="2" t="str">
        <x:v>BK-TC-04001-002</x:v>
      </x:c>
      <x:c r="B400" s="2" t="str">
        <x:v>TC-04001</x:v>
      </x:c>
      <x:c r="C400" s="12" t="n">
        <x:v>46193</x:v>
      </x:c>
      <x:c r="D400" s="2" t="n">
        <x:v>1</x:v>
      </x:c>
      <x:c r="E400" s="2" t="str">
        <x:v>Online</x:v>
      </x:c>
      <x:c r="F400" s="14" t="n">
        <x:v>1290</x:v>
      </x:c>
      <x:c r="G400" s="2" t="str">
        <x:v>Simulated</x:v>
      </x:c>
    </x:row>
    <x:row r="401" ht="22" customHeight="1">
      <x:c r="A401" s="2" t="str">
        <x:v>BK-TC-04001-003</x:v>
      </x:c>
      <x:c r="B401" s="2" t="str">
        <x:v>TC-04001</x:v>
      </x:c>
      <x:c r="C401" s="12" t="n">
        <x:v>46278</x:v>
      </x:c>
      <x:c r="D401" s="2" t="n">
        <x:v>1</x:v>
      </x:c>
      <x:c r="E401" s="2" t="str">
        <x:v>Trade</x:v>
      </x:c>
      <x:c r="F401" s="14" t="n">
        <x:v>1290</x:v>
      </x:c>
      <x:c r="G401" s="2" t="str">
        <x:v>Simulated</x:v>
      </x:c>
    </x:row>
    <x:row r="402" ht="22" customHeight="1">
      <x:c r="A402" s="2" t="str">
        <x:v>BK-TC-04001-004</x:v>
      </x:c>
      <x:c r="B402" s="2" t="str">
        <x:v>TC-04001</x:v>
      </x:c>
      <x:c r="C402" s="12" t="n">
        <x:v>46260</x:v>
      </x:c>
      <x:c r="D402" s="2" t="n">
        <x:v>1</x:v>
      </x:c>
      <x:c r="E402" s="2" t="str">
        <x:v>Trade</x:v>
      </x:c>
      <x:c r="F402" s="14" t="n">
        <x:v>1290</x:v>
      </x:c>
      <x:c r="G402" s="2" t="str">
        <x:v>Simulated</x:v>
      </x:c>
    </x:row>
    <x:row r="403" ht="22" customHeight="1">
      <x:c r="A403" s="2" t="str">
        <x:v>BK-TC-04001-005</x:v>
      </x:c>
      <x:c r="B403" s="2" t="str">
        <x:v>TC-04001</x:v>
      </x:c>
      <x:c r="C403" s="12" t="n">
        <x:v>46201</x:v>
      </x:c>
      <x:c r="D403" s="2" t="n">
        <x:v>1</x:v>
      </x:c>
      <x:c r="E403" s="2" t="str">
        <x:v>Trade</x:v>
      </x:c>
      <x:c r="F403" s="14" t="n">
        <x:v>1290</x:v>
      </x:c>
      <x:c r="G403" s="2" t="str">
        <x:v>Simulated</x:v>
      </x:c>
    </x:row>
    <x:row r="404" ht="22" customHeight="1">
      <x:c r="A404" s="2" t="str">
        <x:v>BK-TC-04001-006</x:v>
      </x:c>
      <x:c r="B404" s="2" t="str">
        <x:v>TC-04001</x:v>
      </x:c>
      <x:c r="C404" s="12" t="n">
        <x:v>46207</x:v>
      </x:c>
      <x:c r="D404" s="2" t="n">
        <x:v>1</x:v>
      </x:c>
      <x:c r="E404" s="2" t="str">
        <x:v>Retail</x:v>
      </x:c>
      <x:c r="F404" s="14" t="n">
        <x:v>1290</x:v>
      </x:c>
      <x:c r="G404" s="2" t="str">
        <x:v>Simulated</x:v>
      </x:c>
    </x:row>
    <x:row r="405" ht="22" customHeight="1">
      <x:c r="A405" s="2" t="str">
        <x:v>BK-TC-04001-007</x:v>
      </x:c>
      <x:c r="B405" s="2" t="str">
        <x:v>TC-04001</x:v>
      </x:c>
      <x:c r="C405" s="12" t="n">
        <x:v>46199</x:v>
      </x:c>
      <x:c r="D405" s="2" t="n">
        <x:v>1</x:v>
      </x:c>
      <x:c r="E405" s="2" t="str">
        <x:v>Retail</x:v>
      </x:c>
      <x:c r="F405" s="14" t="n">
        <x:v>1290</x:v>
      </x:c>
      <x:c r="G405" s="2" t="str">
        <x:v>Simulated</x:v>
      </x:c>
    </x:row>
    <x:row r="406" ht="22" customHeight="1">
      <x:c r="A406" s="2" t="str">
        <x:v>BK-TC-04001-008</x:v>
      </x:c>
      <x:c r="B406" s="2" t="str">
        <x:v>TC-04001</x:v>
      </x:c>
      <x:c r="C406" s="12" t="n">
        <x:v>46186</x:v>
      </x:c>
      <x:c r="D406" s="2" t="n">
        <x:v>1</x:v>
      </x:c>
      <x:c r="E406" s="2" t="str">
        <x:v>Online</x:v>
      </x:c>
      <x:c r="F406" s="14" t="n">
        <x:v>1290</x:v>
      </x:c>
      <x:c r="G406" s="2" t="str">
        <x:v>Simulated</x:v>
      </x:c>
    </x:row>
    <x:row r="407" ht="22" customHeight="1">
      <x:c r="A407" s="2" t="str">
        <x:v>BK-TC-04001-009</x:v>
      </x:c>
      <x:c r="B407" s="2" t="str">
        <x:v>TC-04001</x:v>
      </x:c>
      <x:c r="C407" s="12" t="n">
        <x:v>46280</x:v>
      </x:c>
      <x:c r="D407" s="2" t="n">
        <x:v>1</x:v>
      </x:c>
      <x:c r="E407" s="2" t="str">
        <x:v>Retail</x:v>
      </x:c>
      <x:c r="F407" s="14" t="n">
        <x:v>1290</x:v>
      </x:c>
      <x:c r="G407" s="2" t="str">
        <x:v>Simulated</x:v>
      </x:c>
    </x:row>
    <x:row r="408" ht="22" customHeight="1">
      <x:c r="A408" s="2" t="str">
        <x:v>BK-TC-04001-010</x:v>
      </x:c>
      <x:c r="B408" s="2" t="str">
        <x:v>TC-04001</x:v>
      </x:c>
      <x:c r="C408" s="12" t="n">
        <x:v>46154</x:v>
      </x:c>
      <x:c r="D408" s="2" t="n">
        <x:v>1</x:v>
      </x:c>
      <x:c r="E408" s="2" t="str">
        <x:v>Trade</x:v>
      </x:c>
      <x:c r="F408" s="14" t="n">
        <x:v>1290</x:v>
      </x:c>
      <x:c r="G408" s="2" t="str">
        <x:v>Simulated</x:v>
      </x:c>
    </x:row>
    <x:row r="409" ht="22" customHeight="1">
      <x:c r="A409" s="2" t="str">
        <x:v>BK-TC-04001-011</x:v>
      </x:c>
      <x:c r="B409" s="2" t="str">
        <x:v>TC-04001</x:v>
      </x:c>
      <x:c r="C409" s="12" t="n">
        <x:v>46128</x:v>
      </x:c>
      <x:c r="D409" s="2" t="n">
        <x:v>1</x:v>
      </x:c>
      <x:c r="E409" s="2" t="str">
        <x:v>Online</x:v>
      </x:c>
      <x:c r="F409" s="14" t="n">
        <x:v>1290</x:v>
      </x:c>
      <x:c r="G409" s="2" t="str">
        <x:v>Simulated</x:v>
      </x:c>
    </x:row>
    <x:row r="410" ht="22" customHeight="1">
      <x:c r="A410" s="2" t="str">
        <x:v>BK-TC-04001-012</x:v>
      </x:c>
      <x:c r="B410" s="2" t="str">
        <x:v>TC-04001</x:v>
      </x:c>
      <x:c r="C410" s="12" t="n">
        <x:v>46194</x:v>
      </x:c>
      <x:c r="D410" s="2" t="n">
        <x:v>1</x:v>
      </x:c>
      <x:c r="E410" s="2" t="str">
        <x:v>Online</x:v>
      </x:c>
      <x:c r="F410" s="14" t="n">
        <x:v>1290</x:v>
      </x:c>
      <x:c r="G410" s="2" t="str">
        <x:v>Simulated</x:v>
      </x:c>
    </x:row>
    <x:row r="411" ht="22" customHeight="1">
      <x:c r="A411" s="2" t="str">
        <x:v>BK-TC-04001-013</x:v>
      </x:c>
      <x:c r="B411" s="2" t="str">
        <x:v>TC-04001</x:v>
      </x:c>
      <x:c r="C411" s="12" t="n">
        <x:v>46177</x:v>
      </x:c>
      <x:c r="D411" s="2" t="n">
        <x:v>1</x:v>
      </x:c>
      <x:c r="E411" s="2" t="str">
        <x:v>Trade</x:v>
      </x:c>
      <x:c r="F411" s="14" t="n">
        <x:v>1290</x:v>
      </x:c>
      <x:c r="G411" s="2" t="str">
        <x:v>Simulated</x:v>
      </x:c>
    </x:row>
    <x:row r="412" ht="22" customHeight="1">
      <x:c r="A412" s="2" t="str">
        <x:v>BK-TC-04001-014</x:v>
      </x:c>
      <x:c r="B412" s="2" t="str">
        <x:v>TC-04001</x:v>
      </x:c>
      <x:c r="C412" s="12" t="n">
        <x:v>46142</x:v>
      </x:c>
      <x:c r="D412" s="2" t="n">
        <x:v>1</x:v>
      </x:c>
      <x:c r="E412" s="2" t="str">
        <x:v>Online</x:v>
      </x:c>
      <x:c r="F412" s="14" t="n">
        <x:v>1290</x:v>
      </x:c>
      <x:c r="G412" s="2" t="str">
        <x:v>Simulated</x:v>
      </x:c>
    </x:row>
    <x:row r="413" ht="22" customHeight="1">
      <x:c r="A413" s="2" t="str">
        <x:v>BK-TC-04001-015</x:v>
      </x:c>
      <x:c r="B413" s="2" t="str">
        <x:v>TC-04001</x:v>
      </x:c>
      <x:c r="C413" s="12" t="n">
        <x:v>46263</x:v>
      </x:c>
      <x:c r="D413" s="2" t="n">
        <x:v>1</x:v>
      </x:c>
      <x:c r="E413" s="2" t="str">
        <x:v>Trade</x:v>
      </x:c>
      <x:c r="F413" s="14" t="n">
        <x:v>1290</x:v>
      </x:c>
      <x:c r="G413" s="2" t="str">
        <x:v>Simulated</x:v>
      </x:c>
    </x:row>
    <x:row r="414" ht="22" customHeight="1">
      <x:c r="A414" s="2" t="str">
        <x:v>BK-TC-04001-016</x:v>
      </x:c>
      <x:c r="B414" s="2" t="str">
        <x:v>TC-04001</x:v>
      </x:c>
      <x:c r="C414" s="12" t="n">
        <x:v>46237</x:v>
      </x:c>
      <x:c r="D414" s="2" t="n">
        <x:v>1</x:v>
      </x:c>
      <x:c r="E414" s="2" t="str">
        <x:v>Trade</x:v>
      </x:c>
      <x:c r="F414" s="14" t="n">
        <x:v>1290</x:v>
      </x:c>
      <x:c r="G414" s="2" t="str">
        <x:v>Simulated</x:v>
      </x:c>
    </x:row>
    <x:row r="415" ht="22" customHeight="1">
      <x:c r="A415" s="2" t="str">
        <x:v>BK-TC-04001-017</x:v>
      </x:c>
      <x:c r="B415" s="2" t="str">
        <x:v>TC-04001</x:v>
      </x:c>
      <x:c r="C415" s="12" t="n">
        <x:v>46250</x:v>
      </x:c>
      <x:c r="D415" s="2" t="n">
        <x:v>1</x:v>
      </x:c>
      <x:c r="E415" s="2" t="str">
        <x:v>Online</x:v>
      </x:c>
      <x:c r="F415" s="14" t="n">
        <x:v>1290</x:v>
      </x:c>
      <x:c r="G415" s="2" t="str">
        <x:v>Simulated</x:v>
      </x:c>
    </x:row>
    <x:row r="416" ht="22" customHeight="1">
      <x:c r="A416" s="2" t="str">
        <x:v>BK-TC-04001-018</x:v>
      </x:c>
      <x:c r="B416" s="2" t="str">
        <x:v>TC-04001</x:v>
      </x:c>
      <x:c r="C416" s="12" t="n">
        <x:v>46213</x:v>
      </x:c>
      <x:c r="D416" s="2" t="n">
        <x:v>1</x:v>
      </x:c>
      <x:c r="E416" s="2" t="str">
        <x:v>Online</x:v>
      </x:c>
      <x:c r="F416" s="14" t="n">
        <x:v>1290</x:v>
      </x:c>
      <x:c r="G416" s="2" t="str">
        <x:v>Simulated</x:v>
      </x:c>
    </x:row>
    <x:row r="417" ht="22" customHeight="1">
      <x:c r="A417" s="2" t="str">
        <x:v>BK-TC-04001-019</x:v>
      </x:c>
      <x:c r="B417" s="2" t="str">
        <x:v>TC-04001</x:v>
      </x:c>
      <x:c r="C417" s="12" t="n">
        <x:v>46290</x:v>
      </x:c>
      <x:c r="D417" s="2" t="n">
        <x:v>1</x:v>
      </x:c>
      <x:c r="E417" s="2" t="str">
        <x:v>Retail</x:v>
      </x:c>
      <x:c r="F417" s="14" t="n">
        <x:v>1290</x:v>
      </x:c>
      <x:c r="G417" s="2" t="str">
        <x:v>Simulated</x:v>
      </x:c>
    </x:row>
    <x:row r="418" ht="22" customHeight="1">
      <x:c r="A418" s="2" t="str">
        <x:v>BK-TC-04001-020</x:v>
      </x:c>
      <x:c r="B418" s="2" t="str">
        <x:v>TC-04001</x:v>
      </x:c>
      <x:c r="C418" s="12" t="n">
        <x:v>46175</x:v>
      </x:c>
      <x:c r="D418" s="2" t="n">
        <x:v>1</x:v>
      </x:c>
      <x:c r="E418" s="2" t="str">
        <x:v>Online</x:v>
      </x:c>
      <x:c r="F418" s="14" t="n">
        <x:v>1290</x:v>
      </x:c>
      <x:c r="G418" s="2" t="str">
        <x:v>Simulated</x:v>
      </x:c>
    </x:row>
    <x:row r="419" ht="22" customHeight="1">
      <x:c r="A419" s="2" t="str">
        <x:v>BK-TC-04001-021</x:v>
      </x:c>
      <x:c r="B419" s="2" t="str">
        <x:v>TC-04001</x:v>
      </x:c>
      <x:c r="C419" s="12" t="n">
        <x:v>46299</x:v>
      </x:c>
      <x:c r="D419" s="2" t="n">
        <x:v>1</x:v>
      </x:c>
      <x:c r="E419" s="2" t="str">
        <x:v>Trade</x:v>
      </x:c>
      <x:c r="F419" s="14" t="n">
        <x:v>1290</x:v>
      </x:c>
      <x:c r="G419" s="2" t="str">
        <x:v>Simulated</x:v>
      </x:c>
    </x:row>
    <x:row r="420" ht="22" customHeight="1">
      <x:c r="A420" s="2" t="str">
        <x:v>BK-TC-04001-022</x:v>
      </x:c>
      <x:c r="B420" s="2" t="str">
        <x:v>TC-04001</x:v>
      </x:c>
      <x:c r="C420" s="12" t="n">
        <x:v>46234</x:v>
      </x:c>
      <x:c r="D420" s="2" t="n">
        <x:v>1</x:v>
      </x:c>
      <x:c r="E420" s="2" t="str">
        <x:v>Online</x:v>
      </x:c>
      <x:c r="F420" s="14" t="n">
        <x:v>1290</x:v>
      </x:c>
      <x:c r="G420" s="2" t="str">
        <x:v>Simulated</x:v>
      </x:c>
    </x:row>
    <x:row r="421" ht="22" customHeight="1">
      <x:c r="A421" s="2" t="str">
        <x:v>BK-TC-04001-023</x:v>
      </x:c>
      <x:c r="B421" s="2" t="str">
        <x:v>TC-04001</x:v>
      </x:c>
      <x:c r="C421" s="12" t="n">
        <x:v>46239</x:v>
      </x:c>
      <x:c r="D421" s="2" t="n">
        <x:v>1</x:v>
      </x:c>
      <x:c r="E421" s="2" t="str">
        <x:v>Online</x:v>
      </x:c>
      <x:c r="F421" s="14" t="n">
        <x:v>1290</x:v>
      </x:c>
      <x:c r="G421" s="2" t="str">
        <x:v>Simulated</x:v>
      </x:c>
    </x:row>
    <x:row r="422" ht="22" customHeight="1">
      <x:c r="A422" s="2" t="str">
        <x:v>BK-TC-04001-024</x:v>
      </x:c>
      <x:c r="B422" s="2" t="str">
        <x:v>TC-04001</x:v>
      </x:c>
      <x:c r="C422" s="12" t="n">
        <x:v>46251</x:v>
      </x:c>
      <x:c r="D422" s="2" t="n">
        <x:v>1</x:v>
      </x:c>
      <x:c r="E422" s="2" t="str">
        <x:v>Online</x:v>
      </x:c>
      <x:c r="F422" s="14" t="n">
        <x:v>1290</x:v>
      </x:c>
      <x:c r="G422" s="2" t="str">
        <x:v>Simulated</x:v>
      </x:c>
    </x:row>
    <x:row r="423" ht="22" customHeight="1">
      <x:c r="A423" s="2" t="str">
        <x:v>BK-TC-04002-001</x:v>
      </x:c>
      <x:c r="B423" s="2" t="str">
        <x:v>TC-04002</x:v>
      </x:c>
      <x:c r="C423" s="12" t="n">
        <x:v>46238</x:v>
      </x:c>
      <x:c r="D423" s="2" t="n">
        <x:v>1</x:v>
      </x:c>
      <x:c r="E423" s="2" t="str">
        <x:v>Retail</x:v>
      </x:c>
      <x:c r="F423" s="14" t="n">
        <x:v>1290</x:v>
      </x:c>
      <x:c r="G423" s="2" t="str">
        <x:v>Simulated</x:v>
      </x:c>
    </x:row>
    <x:row r="424" ht="22" customHeight="1">
      <x:c r="A424" s="2" t="str">
        <x:v>BK-TC-04002-002</x:v>
      </x:c>
      <x:c r="B424" s="2" t="str">
        <x:v>TC-04002</x:v>
      </x:c>
      <x:c r="C424" s="12" t="n">
        <x:v>46241</x:v>
      </x:c>
      <x:c r="D424" s="2" t="n">
        <x:v>1</x:v>
      </x:c>
      <x:c r="E424" s="2" t="str">
        <x:v>Retail</x:v>
      </x:c>
      <x:c r="F424" s="14" t="n">
        <x:v>1290</x:v>
      </x:c>
      <x:c r="G424" s="2" t="str">
        <x:v>Simulated</x:v>
      </x:c>
    </x:row>
    <x:row r="425" ht="22" customHeight="1">
      <x:c r="A425" s="2" t="str">
        <x:v>BK-TC-04002-003</x:v>
      </x:c>
      <x:c r="B425" s="2" t="str">
        <x:v>TC-04002</x:v>
      </x:c>
      <x:c r="C425" s="12" t="n">
        <x:v>46212</x:v>
      </x:c>
      <x:c r="D425" s="2" t="n">
        <x:v>1</x:v>
      </x:c>
      <x:c r="E425" s="2" t="str">
        <x:v>Retail</x:v>
      </x:c>
      <x:c r="F425" s="14" t="n">
        <x:v>1290</x:v>
      </x:c>
      <x:c r="G425" s="2" t="str">
        <x:v>Simulated</x:v>
      </x:c>
    </x:row>
    <x:row r="426" ht="22" customHeight="1">
      <x:c r="A426" s="2" t="str">
        <x:v>BK-TC-04002-004</x:v>
      </x:c>
      <x:c r="B426" s="2" t="str">
        <x:v>TC-04002</x:v>
      </x:c>
      <x:c r="C426" s="12" t="n">
        <x:v>46146</x:v>
      </x:c>
      <x:c r="D426" s="2" t="n">
        <x:v>1</x:v>
      </x:c>
      <x:c r="E426" s="2" t="str">
        <x:v>Retail</x:v>
      </x:c>
      <x:c r="F426" s="14" t="n">
        <x:v>1290</x:v>
      </x:c>
      <x:c r="G426" s="2" t="str">
        <x:v>Simulated</x:v>
      </x:c>
    </x:row>
    <x:row r="427" ht="22" customHeight="1">
      <x:c r="A427" s="2" t="str">
        <x:v>BK-TC-04002-005</x:v>
      </x:c>
      <x:c r="B427" s="2" t="str">
        <x:v>TC-04002</x:v>
      </x:c>
      <x:c r="C427" s="12" t="n">
        <x:v>46261</x:v>
      </x:c>
      <x:c r="D427" s="2" t="n">
        <x:v>1</x:v>
      </x:c>
      <x:c r="E427" s="2" t="str">
        <x:v>Online</x:v>
      </x:c>
      <x:c r="F427" s="14" t="n">
        <x:v>1290</x:v>
      </x:c>
      <x:c r="G427" s="2" t="str">
        <x:v>Simulated</x:v>
      </x:c>
    </x:row>
    <x:row r="428" ht="22" customHeight="1">
      <x:c r="A428" s="2" t="str">
        <x:v>BK-TC-04002-006</x:v>
      </x:c>
      <x:c r="B428" s="2" t="str">
        <x:v>TC-04002</x:v>
      </x:c>
      <x:c r="C428" s="12" t="n">
        <x:v>46216</x:v>
      </x:c>
      <x:c r="D428" s="2" t="n">
        <x:v>1</x:v>
      </x:c>
      <x:c r="E428" s="2" t="str">
        <x:v>Retail</x:v>
      </x:c>
      <x:c r="F428" s="14" t="n">
        <x:v>1290</x:v>
      </x:c>
      <x:c r="G428" s="2" t="str">
        <x:v>Simulated</x:v>
      </x:c>
    </x:row>
    <x:row r="429" ht="22" customHeight="1">
      <x:c r="A429" s="2" t="str">
        <x:v>BK-TC-04002-007</x:v>
      </x:c>
      <x:c r="B429" s="2" t="str">
        <x:v>TC-04002</x:v>
      </x:c>
      <x:c r="C429" s="12" t="n">
        <x:v>46157</x:v>
      </x:c>
      <x:c r="D429" s="2" t="n">
        <x:v>1</x:v>
      </x:c>
      <x:c r="E429" s="2" t="str">
        <x:v>Trade</x:v>
      </x:c>
      <x:c r="F429" s="14" t="n">
        <x:v>1290</x:v>
      </x:c>
      <x:c r="G429" s="2" t="str">
        <x:v>Simulated</x:v>
      </x:c>
    </x:row>
    <x:row r="430" ht="22" customHeight="1">
      <x:c r="A430" s="2" t="str">
        <x:v>BK-TC-04002-008</x:v>
      </x:c>
      <x:c r="B430" s="2" t="str">
        <x:v>TC-04002</x:v>
      </x:c>
      <x:c r="C430" s="12" t="n">
        <x:v>46290</x:v>
      </x:c>
      <x:c r="D430" s="2" t="n">
        <x:v>1</x:v>
      </x:c>
      <x:c r="E430" s="2" t="str">
        <x:v>Retail</x:v>
      </x:c>
      <x:c r="F430" s="14" t="n">
        <x:v>1290</x:v>
      </x:c>
      <x:c r="G430" s="2" t="str">
        <x:v>Simulated</x:v>
      </x:c>
    </x:row>
    <x:row r="431" ht="22" customHeight="1">
      <x:c r="A431" s="2" t="str">
        <x:v>BK-TC-04002-009</x:v>
      </x:c>
      <x:c r="B431" s="2" t="str">
        <x:v>TC-04002</x:v>
      </x:c>
      <x:c r="C431" s="12" t="n">
        <x:v>46169</x:v>
      </x:c>
      <x:c r="D431" s="2" t="n">
        <x:v>1</x:v>
      </x:c>
      <x:c r="E431" s="2" t="str">
        <x:v>Retail</x:v>
      </x:c>
      <x:c r="F431" s="14" t="n">
        <x:v>1290</x:v>
      </x:c>
      <x:c r="G431" s="2" t="str">
        <x:v>Simulated</x:v>
      </x:c>
    </x:row>
    <x:row r="432" ht="22" customHeight="1">
      <x:c r="A432" s="2" t="str">
        <x:v>BK-TC-04002-010</x:v>
      </x:c>
      <x:c r="B432" s="2" t="str">
        <x:v>TC-04002</x:v>
      </x:c>
      <x:c r="C432" s="12" t="n">
        <x:v>46301</x:v>
      </x:c>
      <x:c r="D432" s="2" t="n">
        <x:v>1</x:v>
      </x:c>
      <x:c r="E432" s="2" t="str">
        <x:v>Online</x:v>
      </x:c>
      <x:c r="F432" s="14" t="n">
        <x:v>1290</x:v>
      </x:c>
      <x:c r="G432" s="2" t="str">
        <x:v>Simulated</x:v>
      </x:c>
    </x:row>
    <x:row r="433" ht="22" customHeight="1">
      <x:c r="A433" s="2" t="str">
        <x:v>BK-TC-04002-011</x:v>
      </x:c>
      <x:c r="B433" s="2" t="str">
        <x:v>TC-04002</x:v>
      </x:c>
      <x:c r="C433" s="12" t="n">
        <x:v>46215</x:v>
      </x:c>
      <x:c r="D433" s="2" t="n">
        <x:v>1</x:v>
      </x:c>
      <x:c r="E433" s="2" t="str">
        <x:v>Trade</x:v>
      </x:c>
      <x:c r="F433" s="14" t="n">
        <x:v>1290</x:v>
      </x:c>
      <x:c r="G433" s="2" t="str">
        <x:v>Simulated</x:v>
      </x:c>
    </x:row>
    <x:row r="434" ht="22" customHeight="1">
      <x:c r="A434" s="2" t="str">
        <x:v>BK-TC-04002-012</x:v>
      </x:c>
      <x:c r="B434" s="2" t="str">
        <x:v>TC-04002</x:v>
      </x:c>
      <x:c r="C434" s="12" t="n">
        <x:v>46178</x:v>
      </x:c>
      <x:c r="D434" s="2" t="n">
        <x:v>1</x:v>
      </x:c>
      <x:c r="E434" s="2" t="str">
        <x:v>Online</x:v>
      </x:c>
      <x:c r="F434" s="14" t="n">
        <x:v>1290</x:v>
      </x:c>
      <x:c r="G434" s="2" t="str">
        <x:v>Simulated</x:v>
      </x:c>
    </x:row>
    <x:row r="435" ht="22" customHeight="1">
      <x:c r="A435" s="2" t="str">
        <x:v>BK-TC-04002-013</x:v>
      </x:c>
      <x:c r="B435" s="2" t="str">
        <x:v>TC-04002</x:v>
      </x:c>
      <x:c r="C435" s="12" t="n">
        <x:v>46277</x:v>
      </x:c>
      <x:c r="D435" s="2" t="n">
        <x:v>1</x:v>
      </x:c>
      <x:c r="E435" s="2" t="str">
        <x:v>Retail</x:v>
      </x:c>
      <x:c r="F435" s="14" t="n">
        <x:v>1290</x:v>
      </x:c>
      <x:c r="G435" s="2" t="str">
        <x:v>Simulated</x:v>
      </x:c>
    </x:row>
    <x:row r="436" ht="22" customHeight="1">
      <x:c r="A436" s="2" t="str">
        <x:v>BK-TC-04002-014</x:v>
      </x:c>
      <x:c r="B436" s="2" t="str">
        <x:v>TC-04002</x:v>
      </x:c>
      <x:c r="C436" s="12" t="n">
        <x:v>46303</x:v>
      </x:c>
      <x:c r="D436" s="2" t="n">
        <x:v>1</x:v>
      </x:c>
      <x:c r="E436" s="2" t="str">
        <x:v>Trade</x:v>
      </x:c>
      <x:c r="F436" s="14" t="n">
        <x:v>1290</x:v>
      </x:c>
      <x:c r="G436" s="2" t="str">
        <x:v>Simulated</x:v>
      </x:c>
    </x:row>
    <x:row r="437" ht="22" customHeight="1">
      <x:c r="A437" s="2" t="str">
        <x:v>BK-TC-04002-015</x:v>
      </x:c>
      <x:c r="B437" s="2" t="str">
        <x:v>TC-04002</x:v>
      </x:c>
      <x:c r="C437" s="12" t="n">
        <x:v>46259</x:v>
      </x:c>
      <x:c r="D437" s="2" t="n">
        <x:v>1</x:v>
      </x:c>
      <x:c r="E437" s="2" t="str">
        <x:v>Online</x:v>
      </x:c>
      <x:c r="F437" s="14" t="n">
        <x:v>1290</x:v>
      </x:c>
      <x:c r="G437" s="2" t="str">
        <x:v>Simulated</x:v>
      </x:c>
    </x:row>
    <x:row r="438" ht="22" customHeight="1">
      <x:c r="A438" s="2" t="str">
        <x:v>BK-TC-04002-016</x:v>
      </x:c>
      <x:c r="B438" s="2" t="str">
        <x:v>TC-04002</x:v>
      </x:c>
      <x:c r="C438" s="12" t="n">
        <x:v>46277</x:v>
      </x:c>
      <x:c r="D438" s="2" t="n">
        <x:v>1</x:v>
      </x:c>
      <x:c r="E438" s="2" t="str">
        <x:v>Trade</x:v>
      </x:c>
      <x:c r="F438" s="14" t="n">
        <x:v>1290</x:v>
      </x:c>
      <x:c r="G438" s="2" t="str">
        <x:v>Simulated</x:v>
      </x:c>
    </x:row>
    <x:row r="439" ht="22" customHeight="1">
      <x:c r="A439" s="2" t="str">
        <x:v>BK-TC-04003-001</x:v>
      </x:c>
      <x:c r="B439" s="2" t="str">
        <x:v>TC-04003</x:v>
      </x:c>
      <x:c r="C439" s="12" t="n">
        <x:v>46266</x:v>
      </x:c>
      <x:c r="D439" s="2" t="n">
        <x:v>1</x:v>
      </x:c>
      <x:c r="E439" s="2" t="str">
        <x:v>Online</x:v>
      </x:c>
      <x:c r="F439" s="14" t="n">
        <x:v>1290</x:v>
      </x:c>
      <x:c r="G439" s="2" t="str">
        <x:v>Simulated</x:v>
      </x:c>
    </x:row>
    <x:row r="440" ht="22" customHeight="1">
      <x:c r="A440" s="2" t="str">
        <x:v>BK-TC-04003-002</x:v>
      </x:c>
      <x:c r="B440" s="2" t="str">
        <x:v>TC-04003</x:v>
      </x:c>
      <x:c r="C440" s="12" t="n">
        <x:v>46232</x:v>
      </x:c>
      <x:c r="D440" s="2" t="n">
        <x:v>1</x:v>
      </x:c>
      <x:c r="E440" s="2" t="str">
        <x:v>Trade</x:v>
      </x:c>
      <x:c r="F440" s="14" t="n">
        <x:v>1290</x:v>
      </x:c>
      <x:c r="G440" s="2" t="str">
        <x:v>Simulated</x:v>
      </x:c>
    </x:row>
    <x:row r="441" ht="22" customHeight="1">
      <x:c r="A441" s="2" t="str">
        <x:v>BK-TC-04003-003</x:v>
      </x:c>
      <x:c r="B441" s="2" t="str">
        <x:v>TC-04003</x:v>
      </x:c>
      <x:c r="C441" s="12" t="n">
        <x:v>46205</x:v>
      </x:c>
      <x:c r="D441" s="2" t="n">
        <x:v>1</x:v>
      </x:c>
      <x:c r="E441" s="2" t="str">
        <x:v>Online</x:v>
      </x:c>
      <x:c r="F441" s="14" t="n">
        <x:v>1290</x:v>
      </x:c>
      <x:c r="G441" s="2" t="str">
        <x:v>Simulated</x:v>
      </x:c>
    </x:row>
    <x:row r="442" ht="22" customHeight="1">
      <x:c r="A442" s="2" t="str">
        <x:v>BK-TC-04003-004</x:v>
      </x:c>
      <x:c r="B442" s="2" t="str">
        <x:v>TC-04003</x:v>
      </x:c>
      <x:c r="C442" s="12" t="n">
        <x:v>46290</x:v>
      </x:c>
      <x:c r="D442" s="2" t="n">
        <x:v>1</x:v>
      </x:c>
      <x:c r="E442" s="2" t="str">
        <x:v>Trade</x:v>
      </x:c>
      <x:c r="F442" s="14" t="n">
        <x:v>1290</x:v>
      </x:c>
      <x:c r="G442" s="2" t="str">
        <x:v>Simulated</x:v>
      </x:c>
    </x:row>
    <x:row r="443" ht="22" customHeight="1">
      <x:c r="A443" s="2" t="str">
        <x:v>BK-TC-04003-005</x:v>
      </x:c>
      <x:c r="B443" s="2" t="str">
        <x:v>TC-04003</x:v>
      </x:c>
      <x:c r="C443" s="12" t="n">
        <x:v>46177</x:v>
      </x:c>
      <x:c r="D443" s="2" t="n">
        <x:v>1</x:v>
      </x:c>
      <x:c r="E443" s="2" t="str">
        <x:v>Trade</x:v>
      </x:c>
      <x:c r="F443" s="14" t="n">
        <x:v>1290</x:v>
      </x:c>
      <x:c r="G443" s="2" t="str">
        <x:v>Simulated</x:v>
      </x:c>
    </x:row>
    <x:row r="444" ht="22" customHeight="1">
      <x:c r="A444" s="2" t="str">
        <x:v>BK-TC-04003-006</x:v>
      </x:c>
      <x:c r="B444" s="2" t="str">
        <x:v>TC-04003</x:v>
      </x:c>
      <x:c r="C444" s="12" t="n">
        <x:v>46183</x:v>
      </x:c>
      <x:c r="D444" s="2" t="n">
        <x:v>1</x:v>
      </x:c>
      <x:c r="E444" s="2" t="str">
        <x:v>Trade</x:v>
      </x:c>
      <x:c r="F444" s="14" t="n">
        <x:v>1290</x:v>
      </x:c>
      <x:c r="G444" s="2" t="str">
        <x:v>Simulated</x:v>
      </x:c>
    </x:row>
    <x:row r="445" ht="22" customHeight="1">
      <x:c r="A445" s="2" t="str">
        <x:v>BK-TC-04003-007</x:v>
      </x:c>
      <x:c r="B445" s="2" t="str">
        <x:v>TC-04003</x:v>
      </x:c>
      <x:c r="C445" s="12" t="n">
        <x:v>46298</x:v>
      </x:c>
      <x:c r="D445" s="2" t="n">
        <x:v>1</x:v>
      </x:c>
      <x:c r="E445" s="2" t="str">
        <x:v>Online</x:v>
      </x:c>
      <x:c r="F445" s="14" t="n">
        <x:v>1290</x:v>
      </x:c>
      <x:c r="G445" s="2" t="str">
        <x:v>Simulated</x:v>
      </x:c>
    </x:row>
    <x:row r="446" ht="22" customHeight="1">
      <x:c r="A446" s="2" t="str">
        <x:v>BK-TC-04003-008</x:v>
      </x:c>
      <x:c r="B446" s="2" t="str">
        <x:v>TC-04003</x:v>
      </x:c>
      <x:c r="C446" s="12" t="n">
        <x:v>46220</x:v>
      </x:c>
      <x:c r="D446" s="2" t="n">
        <x:v>1</x:v>
      </x:c>
      <x:c r="E446" s="2" t="str">
        <x:v>Online</x:v>
      </x:c>
      <x:c r="F446" s="14" t="n">
        <x:v>1290</x:v>
      </x:c>
      <x:c r="G446" s="2" t="str">
        <x:v>Simulated</x:v>
      </x:c>
    </x:row>
    <x:row r="447" ht="22" customHeight="1">
      <x:c r="A447" s="2" t="str">
        <x:v>BK-TC-04003-009</x:v>
      </x:c>
      <x:c r="B447" s="2" t="str">
        <x:v>TC-04003</x:v>
      </x:c>
      <x:c r="C447" s="12" t="n">
        <x:v>46262</x:v>
      </x:c>
      <x:c r="D447" s="2" t="n">
        <x:v>1</x:v>
      </x:c>
      <x:c r="E447" s="2" t="str">
        <x:v>Trade</x:v>
      </x:c>
      <x:c r="F447" s="14" t="n">
        <x:v>1290</x:v>
      </x:c>
      <x:c r="G447" s="2" t="str">
        <x:v>Simulated</x:v>
      </x:c>
    </x:row>
    <x:row r="448" ht="22" customHeight="1">
      <x:c r="A448" s="2" t="str">
        <x:v>BK-TC-04003-010</x:v>
      </x:c>
      <x:c r="B448" s="2" t="str">
        <x:v>TC-04003</x:v>
      </x:c>
      <x:c r="C448" s="12" t="n">
        <x:v>46295</x:v>
      </x:c>
      <x:c r="D448" s="2" t="n">
        <x:v>1</x:v>
      </x:c>
      <x:c r="E448" s="2" t="str">
        <x:v>Retail</x:v>
      </x:c>
      <x:c r="F448" s="14" t="n">
        <x:v>1290</x:v>
      </x:c>
      <x:c r="G448" s="2" t="str">
        <x:v>Simulated</x:v>
      </x:c>
    </x:row>
    <x:row r="449" ht="22" customHeight="1">
      <x:c r="A449" s="2" t="str">
        <x:v>BK-TC-04003-011</x:v>
      </x:c>
      <x:c r="B449" s="2" t="str">
        <x:v>TC-04003</x:v>
      </x:c>
      <x:c r="C449" s="12" t="n">
        <x:v>46262</x:v>
      </x:c>
      <x:c r="D449" s="2" t="n">
        <x:v>1</x:v>
      </x:c>
      <x:c r="E449" s="2" t="str">
        <x:v>Trade</x:v>
      </x:c>
      <x:c r="F449" s="14" t="n">
        <x:v>1290</x:v>
      </x:c>
      <x:c r="G449" s="2" t="str">
        <x:v>Simulated</x:v>
      </x:c>
    </x:row>
    <x:row r="450" ht="22" customHeight="1">
      <x:c r="A450" s="2" t="str">
        <x:v>BK-TC-04003-012</x:v>
      </x:c>
      <x:c r="B450" s="2" t="str">
        <x:v>TC-04003</x:v>
      </x:c>
      <x:c r="C450" s="12" t="n">
        <x:v>46267</x:v>
      </x:c>
      <x:c r="D450" s="2" t="n">
        <x:v>1</x:v>
      </x:c>
      <x:c r="E450" s="2" t="str">
        <x:v>Online</x:v>
      </x:c>
      <x:c r="F450" s="14" t="n">
        <x:v>1290</x:v>
      </x:c>
      <x:c r="G450" s="2" t="str">
        <x:v>Simulated</x:v>
      </x:c>
    </x:row>
    <x:row r="451" ht="22" customHeight="1">
      <x:c r="A451" s="2" t="str">
        <x:v>BK-TC-04003-013</x:v>
      </x:c>
      <x:c r="B451" s="2" t="str">
        <x:v>TC-04003</x:v>
      </x:c>
      <x:c r="C451" s="12" t="n">
        <x:v>46186</x:v>
      </x:c>
      <x:c r="D451" s="2" t="n">
        <x:v>1</x:v>
      </x:c>
      <x:c r="E451" s="2" t="str">
        <x:v>Online</x:v>
      </x:c>
      <x:c r="F451" s="14" t="n">
        <x:v>1290</x:v>
      </x:c>
      <x:c r="G451" s="2" t="str">
        <x:v>Simulated</x:v>
      </x:c>
    </x:row>
    <x:row r="452" ht="22" customHeight="1">
      <x:c r="A452" s="2" t="str">
        <x:v>BK-TC-04003-014</x:v>
      </x:c>
      <x:c r="B452" s="2" t="str">
        <x:v>TC-04003</x:v>
      </x:c>
      <x:c r="C452" s="12" t="n">
        <x:v>46232</x:v>
      </x:c>
      <x:c r="D452" s="2" t="n">
        <x:v>1</x:v>
      </x:c>
      <x:c r="E452" s="2" t="str">
        <x:v>Retail</x:v>
      </x:c>
      <x:c r="F452" s="14" t="n">
        <x:v>1290</x:v>
      </x:c>
      <x:c r="G452" s="2" t="str">
        <x:v>Simulated</x:v>
      </x:c>
    </x:row>
    <x:row r="453" ht="22" customHeight="1">
      <x:c r="A453" s="2" t="str">
        <x:v>BK-TC-04003-015</x:v>
      </x:c>
      <x:c r="B453" s="2" t="str">
        <x:v>TC-04003</x:v>
      </x:c>
      <x:c r="C453" s="12" t="n">
        <x:v>46290</x:v>
      </x:c>
      <x:c r="D453" s="2" t="n">
        <x:v>1</x:v>
      </x:c>
      <x:c r="E453" s="2" t="str">
        <x:v>Online</x:v>
      </x:c>
      <x:c r="F453" s="14" t="n">
        <x:v>1290</x:v>
      </x:c>
      <x:c r="G453" s="2" t="str">
        <x:v>Simulated</x:v>
      </x:c>
    </x:row>
    <x:row r="454" ht="22" customHeight="1">
      <x:c r="A454" s="2" t="str">
        <x:v>BK-TC-04003-016</x:v>
      </x:c>
      <x:c r="B454" s="2" t="str">
        <x:v>TC-04003</x:v>
      </x:c>
      <x:c r="C454" s="12" t="n">
        <x:v>46262</x:v>
      </x:c>
      <x:c r="D454" s="2" t="n">
        <x:v>1</x:v>
      </x:c>
      <x:c r="E454" s="2" t="str">
        <x:v>Trade</x:v>
      </x:c>
      <x:c r="F454" s="14" t="n">
        <x:v>1290</x:v>
      </x:c>
      <x:c r="G454" s="2" t="str">
        <x:v>Simulated</x:v>
      </x:c>
    </x:row>
    <x:row r="455" ht="22" customHeight="1">
      <x:c r="A455" s="2" t="str">
        <x:v>BK-TC-04004-001</x:v>
      </x:c>
      <x:c r="B455" s="2" t="str">
        <x:v>TC-04004</x:v>
      </x:c>
      <x:c r="C455" s="12" t="n">
        <x:v>46270</x:v>
      </x:c>
      <x:c r="D455" s="2" t="n">
        <x:v>1</x:v>
      </x:c>
      <x:c r="E455" s="2" t="str">
        <x:v>Trade</x:v>
      </x:c>
      <x:c r="F455" s="14" t="n">
        <x:v>1290</x:v>
      </x:c>
      <x:c r="G455" s="2" t="str">
        <x:v>Simulated</x:v>
      </x:c>
    </x:row>
    <x:row r="456" ht="22" customHeight="1">
      <x:c r="A456" s="2" t="str">
        <x:v>BK-TC-04004-002</x:v>
      </x:c>
      <x:c r="B456" s="2" t="str">
        <x:v>TC-04004</x:v>
      </x:c>
      <x:c r="C456" s="12" t="n">
        <x:v>46244</x:v>
      </x:c>
      <x:c r="D456" s="2" t="n">
        <x:v>1</x:v>
      </x:c>
      <x:c r="E456" s="2" t="str">
        <x:v>Online</x:v>
      </x:c>
      <x:c r="F456" s="14" t="n">
        <x:v>1290</x:v>
      </x:c>
      <x:c r="G456" s="2" t="str">
        <x:v>Simulated</x:v>
      </x:c>
    </x:row>
    <x:row r="457" ht="22" customHeight="1">
      <x:c r="A457" s="2" t="str">
        <x:v>BK-TC-04004-003</x:v>
      </x:c>
      <x:c r="B457" s="2" t="str">
        <x:v>TC-04004</x:v>
      </x:c>
      <x:c r="C457" s="12" t="n">
        <x:v>46283</x:v>
      </x:c>
      <x:c r="D457" s="2" t="n">
        <x:v>1</x:v>
      </x:c>
      <x:c r="E457" s="2" t="str">
        <x:v>Retail</x:v>
      </x:c>
      <x:c r="F457" s="14" t="n">
        <x:v>1290</x:v>
      </x:c>
      <x:c r="G457" s="2" t="str">
        <x:v>Simulated</x:v>
      </x:c>
    </x:row>
    <x:row r="458" ht="22" customHeight="1">
      <x:c r="A458" s="2" t="str">
        <x:v>BK-TC-04004-004</x:v>
      </x:c>
      <x:c r="B458" s="2" t="str">
        <x:v>TC-04004</x:v>
      </x:c>
      <x:c r="C458" s="12" t="n">
        <x:v>46222</x:v>
      </x:c>
      <x:c r="D458" s="2" t="n">
        <x:v>1</x:v>
      </x:c>
      <x:c r="E458" s="2" t="str">
        <x:v>Retail</x:v>
      </x:c>
      <x:c r="F458" s="14" t="n">
        <x:v>1290</x:v>
      </x:c>
      <x:c r="G458" s="2" t="str">
        <x:v>Simulated</x:v>
      </x:c>
    </x:row>
    <x:row r="459" ht="22" customHeight="1">
      <x:c r="A459" s="2" t="str">
        <x:v>BK-TC-04004-005</x:v>
      </x:c>
      <x:c r="B459" s="2" t="str">
        <x:v>TC-04004</x:v>
      </x:c>
      <x:c r="C459" s="12" t="n">
        <x:v>46237</x:v>
      </x:c>
      <x:c r="D459" s="2" t="n">
        <x:v>1</x:v>
      </x:c>
      <x:c r="E459" s="2" t="str">
        <x:v>Trade</x:v>
      </x:c>
      <x:c r="F459" s="14" t="n">
        <x:v>1290</x:v>
      </x:c>
      <x:c r="G459" s="2" t="str">
        <x:v>Simulated</x:v>
      </x:c>
    </x:row>
    <x:row r="460" ht="22" customHeight="1">
      <x:c r="A460" s="2" t="str">
        <x:v>BK-TC-04004-006</x:v>
      </x:c>
      <x:c r="B460" s="2" t="str">
        <x:v>TC-04004</x:v>
      </x:c>
      <x:c r="C460" s="12" t="n">
        <x:v>46273</x:v>
      </x:c>
      <x:c r="D460" s="2" t="n">
        <x:v>1</x:v>
      </x:c>
      <x:c r="E460" s="2" t="str">
        <x:v>Trade</x:v>
      </x:c>
      <x:c r="F460" s="14" t="n">
        <x:v>1290</x:v>
      </x:c>
      <x:c r="G460" s="2" t="str">
        <x:v>Simulated</x:v>
      </x:c>
    </x:row>
    <x:row r="461" ht="22" customHeight="1">
      <x:c r="A461" s="2" t="str">
        <x:v>BK-TC-04004-007</x:v>
      </x:c>
      <x:c r="B461" s="2" t="str">
        <x:v>TC-04004</x:v>
      </x:c>
      <x:c r="C461" s="12" t="n">
        <x:v>46288</x:v>
      </x:c>
      <x:c r="D461" s="2" t="n">
        <x:v>1</x:v>
      </x:c>
      <x:c r="E461" s="2" t="str">
        <x:v>Retail</x:v>
      </x:c>
      <x:c r="F461" s="14" t="n">
        <x:v>1290</x:v>
      </x:c>
      <x:c r="G461" s="2" t="str">
        <x:v>Simulated</x:v>
      </x:c>
    </x:row>
    <x:row r="462" ht="22" customHeight="1">
      <x:c r="A462" s="2" t="str">
        <x:v>BK-TC-04004-008</x:v>
      </x:c>
      <x:c r="B462" s="2" t="str">
        <x:v>TC-04004</x:v>
      </x:c>
      <x:c r="C462" s="12" t="n">
        <x:v>46198</x:v>
      </x:c>
      <x:c r="D462" s="2" t="n">
        <x:v>1</x:v>
      </x:c>
      <x:c r="E462" s="2" t="str">
        <x:v>Trade</x:v>
      </x:c>
      <x:c r="F462" s="14" t="n">
        <x:v>1290</x:v>
      </x:c>
      <x:c r="G462" s="2" t="str">
        <x:v>Simulated</x:v>
      </x:c>
    </x:row>
    <x:row r="463" ht="22" customHeight="1">
      <x:c r="A463" s="2" t="str">
        <x:v>BK-TC-04004-009</x:v>
      </x:c>
      <x:c r="B463" s="2" t="str">
        <x:v>TC-04004</x:v>
      </x:c>
      <x:c r="C463" s="12" t="n">
        <x:v>46258</x:v>
      </x:c>
      <x:c r="D463" s="2" t="n">
        <x:v>1</x:v>
      </x:c>
      <x:c r="E463" s="2" t="str">
        <x:v>Trade</x:v>
      </x:c>
      <x:c r="F463" s="14" t="n">
        <x:v>1290</x:v>
      </x:c>
      <x:c r="G463" s="2" t="str">
        <x:v>Simulated</x:v>
      </x:c>
    </x:row>
    <x:row r="464" ht="22" customHeight="1">
      <x:c r="A464" s="2" t="str">
        <x:v>BK-TC-04004-010</x:v>
      </x:c>
      <x:c r="B464" s="2" t="str">
        <x:v>TC-04004</x:v>
      </x:c>
      <x:c r="C464" s="12" t="n">
        <x:v>46179</x:v>
      </x:c>
      <x:c r="D464" s="2" t="n">
        <x:v>1</x:v>
      </x:c>
      <x:c r="E464" s="2" t="str">
        <x:v>Retail</x:v>
      </x:c>
      <x:c r="F464" s="14" t="n">
        <x:v>1290</x:v>
      </x:c>
      <x:c r="G464" s="2" t="str">
        <x:v>Simulated</x:v>
      </x:c>
    </x:row>
    <x:row r="465" ht="22" customHeight="1">
      <x:c r="A465" s="2" t="str">
        <x:v>BK-TC-04004-011</x:v>
      </x:c>
      <x:c r="B465" s="2" t="str">
        <x:v>TC-04004</x:v>
      </x:c>
      <x:c r="C465" s="12" t="n">
        <x:v>46222</x:v>
      </x:c>
      <x:c r="D465" s="2" t="n">
        <x:v>1</x:v>
      </x:c>
      <x:c r="E465" s="2" t="str">
        <x:v>Trade</x:v>
      </x:c>
      <x:c r="F465" s="14" t="n">
        <x:v>1290</x:v>
      </x:c>
      <x:c r="G465" s="2" t="str">
        <x:v>Simulated</x:v>
      </x:c>
    </x:row>
    <x:row r="466" ht="22" customHeight="1">
      <x:c r="A466" s="2" t="str">
        <x:v>BK-TC-04004-012</x:v>
      </x:c>
      <x:c r="B466" s="2" t="str">
        <x:v>TC-04004</x:v>
      </x:c>
      <x:c r="C466" s="12" t="n">
        <x:v>46207</x:v>
      </x:c>
      <x:c r="D466" s="2" t="n">
        <x:v>1</x:v>
      </x:c>
      <x:c r="E466" s="2" t="str">
        <x:v>Retail</x:v>
      </x:c>
      <x:c r="F466" s="14" t="n">
        <x:v>1290</x:v>
      </x:c>
      <x:c r="G466" s="2" t="str">
        <x:v>Simulated</x:v>
      </x:c>
    </x:row>
    <x:row r="467" ht="22" customHeight="1">
      <x:c r="A467" s="2" t="str">
        <x:v>BK-TC-04004-013</x:v>
      </x:c>
      <x:c r="B467" s="2" t="str">
        <x:v>TC-04004</x:v>
      </x:c>
      <x:c r="C467" s="12" t="n">
        <x:v>46268</x:v>
      </x:c>
      <x:c r="D467" s="2" t="n">
        <x:v>1</x:v>
      </x:c>
      <x:c r="E467" s="2" t="str">
        <x:v>Trade</x:v>
      </x:c>
      <x:c r="F467" s="14" t="n">
        <x:v>1290</x:v>
      </x:c>
      <x:c r="G467" s="2" t="str">
        <x:v>Simulated</x:v>
      </x:c>
    </x:row>
    <x:row r="468" ht="22" customHeight="1">
      <x:c r="A468" s="2" t="str">
        <x:v>BK-TC-04004-014</x:v>
      </x:c>
      <x:c r="B468" s="2" t="str">
        <x:v>TC-04004</x:v>
      </x:c>
      <x:c r="C468" s="12" t="n">
        <x:v>46227</x:v>
      </x:c>
      <x:c r="D468" s="2" t="n">
        <x:v>1</x:v>
      </x:c>
      <x:c r="E468" s="2" t="str">
        <x:v>Trade</x:v>
      </x:c>
      <x:c r="F468" s="14" t="n">
        <x:v>1290</x:v>
      </x:c>
      <x:c r="G468" s="2" t="str">
        <x:v>Simulated</x:v>
      </x:c>
    </x:row>
    <x:row r="469" ht="22" customHeight="1">
      <x:c r="A469" s="2" t="str">
        <x:v>BK-TC-04004-015</x:v>
      </x:c>
      <x:c r="B469" s="2" t="str">
        <x:v>TC-04004</x:v>
      </x:c>
      <x:c r="C469" s="12" t="n">
        <x:v>46221</x:v>
      </x:c>
      <x:c r="D469" s="2" t="n">
        <x:v>1</x:v>
      </x:c>
      <x:c r="E469" s="2" t="str">
        <x:v>Trade</x:v>
      </x:c>
      <x:c r="F469" s="14" t="n">
        <x:v>1290</x:v>
      </x:c>
      <x:c r="G469" s="2" t="str">
        <x:v>Simulated</x:v>
      </x:c>
    </x:row>
    <x:row r="470" ht="22" customHeight="1">
      <x:c r="A470" s="2" t="str">
        <x:v>BK-TC-04004-016</x:v>
      </x:c>
      <x:c r="B470" s="2" t="str">
        <x:v>TC-04004</x:v>
      </x:c>
      <x:c r="C470" s="12" t="n">
        <x:v>46229</x:v>
      </x:c>
      <x:c r="D470" s="2" t="n">
        <x:v>1</x:v>
      </x:c>
      <x:c r="E470" s="2" t="str">
        <x:v>Online</x:v>
      </x:c>
      <x:c r="F470" s="14" t="n">
        <x:v>1290</x:v>
      </x:c>
      <x:c r="G470" s="2" t="str">
        <x:v>Simulated</x:v>
      </x:c>
    </x:row>
    <x:row r="471" ht="22" customHeight="1">
      <x:c r="A471" s="2" t="str">
        <x:v>BK-TC-04005-001</x:v>
      </x:c>
      <x:c r="B471" s="2" t="str">
        <x:v>TC-04005</x:v>
      </x:c>
      <x:c r="C471" s="12" t="n">
        <x:v>46266</x:v>
      </x:c>
      <x:c r="D471" s="2" t="n">
        <x:v>1</x:v>
      </x:c>
      <x:c r="E471" s="2" t="str">
        <x:v>Retail</x:v>
      </x:c>
      <x:c r="F471" s="14" t="n">
        <x:v>1290</x:v>
      </x:c>
      <x:c r="G471" s="2" t="str">
        <x:v>Simulated</x:v>
      </x:c>
    </x:row>
    <x:row r="472" ht="22" customHeight="1">
      <x:c r="A472" s="2" t="str">
        <x:v>BK-TC-04005-002</x:v>
      </x:c>
      <x:c r="B472" s="2" t="str">
        <x:v>TC-04005</x:v>
      </x:c>
      <x:c r="C472" s="12" t="n">
        <x:v>46299</x:v>
      </x:c>
      <x:c r="D472" s="2" t="n">
        <x:v>1</x:v>
      </x:c>
      <x:c r="E472" s="2" t="str">
        <x:v>Trade</x:v>
      </x:c>
      <x:c r="F472" s="14" t="n">
        <x:v>1290</x:v>
      </x:c>
      <x:c r="G472" s="2" t="str">
        <x:v>Simulated</x:v>
      </x:c>
    </x:row>
    <x:row r="473" ht="22" customHeight="1">
      <x:c r="A473" s="2" t="str">
        <x:v>BK-TC-04005-003</x:v>
      </x:c>
      <x:c r="B473" s="2" t="str">
        <x:v>TC-04005</x:v>
      </x:c>
      <x:c r="C473" s="12" t="n">
        <x:v>46211</x:v>
      </x:c>
      <x:c r="D473" s="2" t="n">
        <x:v>1</x:v>
      </x:c>
      <x:c r="E473" s="2" t="str">
        <x:v>Online</x:v>
      </x:c>
      <x:c r="F473" s="14" t="n">
        <x:v>1290</x:v>
      </x:c>
      <x:c r="G473" s="2" t="str">
        <x:v>Simulated</x:v>
      </x:c>
    </x:row>
    <x:row r="474" ht="22" customHeight="1">
      <x:c r="A474" s="2" t="str">
        <x:v>BK-TC-04005-004</x:v>
      </x:c>
      <x:c r="B474" s="2" t="str">
        <x:v>TC-04005</x:v>
      </x:c>
      <x:c r="C474" s="12" t="n">
        <x:v>46200</x:v>
      </x:c>
      <x:c r="D474" s="2" t="n">
        <x:v>1</x:v>
      </x:c>
      <x:c r="E474" s="2" t="str">
        <x:v>Retail</x:v>
      </x:c>
      <x:c r="F474" s="14" t="n">
        <x:v>1290</x:v>
      </x:c>
      <x:c r="G474" s="2" t="str">
        <x:v>Simulated</x:v>
      </x:c>
    </x:row>
    <x:row r="475" ht="22" customHeight="1">
      <x:c r="A475" s="2" t="str">
        <x:v>BK-TC-04005-005</x:v>
      </x:c>
      <x:c r="B475" s="2" t="str">
        <x:v>TC-04005</x:v>
      </x:c>
      <x:c r="C475" s="12" t="n">
        <x:v>46294</x:v>
      </x:c>
      <x:c r="D475" s="2" t="n">
        <x:v>1</x:v>
      </x:c>
      <x:c r="E475" s="2" t="str">
        <x:v>Trade</x:v>
      </x:c>
      <x:c r="F475" s="14" t="n">
        <x:v>1290</x:v>
      </x:c>
      <x:c r="G475" s="2" t="str">
        <x:v>Simulated</x:v>
      </x:c>
    </x:row>
    <x:row r="476" ht="22" customHeight="1">
      <x:c r="A476" s="2" t="str">
        <x:v>BK-TC-04005-006</x:v>
      </x:c>
      <x:c r="B476" s="2" t="str">
        <x:v>TC-04005</x:v>
      </x:c>
      <x:c r="C476" s="12" t="n">
        <x:v>46188</x:v>
      </x:c>
      <x:c r="D476" s="2" t="n">
        <x:v>1</x:v>
      </x:c>
      <x:c r="E476" s="2" t="str">
        <x:v>Trade</x:v>
      </x:c>
      <x:c r="F476" s="14" t="n">
        <x:v>1290</x:v>
      </x:c>
      <x:c r="G476" s="2" t="str">
        <x:v>Simulated</x:v>
      </x:c>
    </x:row>
    <x:row r="477" ht="22" customHeight="1">
      <x:c r="A477" s="2" t="str">
        <x:v>BK-TC-04005-007</x:v>
      </x:c>
      <x:c r="B477" s="2" t="str">
        <x:v>TC-04005</x:v>
      </x:c>
      <x:c r="C477" s="12" t="n">
        <x:v>46254</x:v>
      </x:c>
      <x:c r="D477" s="2" t="n">
        <x:v>1</x:v>
      </x:c>
      <x:c r="E477" s="2" t="str">
        <x:v>Online</x:v>
      </x:c>
      <x:c r="F477" s="14" t="n">
        <x:v>1290</x:v>
      </x:c>
      <x:c r="G477" s="2" t="str">
        <x:v>Simulated</x:v>
      </x:c>
    </x:row>
    <x:row r="478" ht="22" customHeight="1">
      <x:c r="A478" s="2" t="str">
        <x:v>BK-TC-04005-008</x:v>
      </x:c>
      <x:c r="B478" s="2" t="str">
        <x:v>TC-04005</x:v>
      </x:c>
      <x:c r="C478" s="12" t="n">
        <x:v>46260</x:v>
      </x:c>
      <x:c r="D478" s="2" t="n">
        <x:v>1</x:v>
      </x:c>
      <x:c r="E478" s="2" t="str">
        <x:v>Online</x:v>
      </x:c>
      <x:c r="F478" s="14" t="n">
        <x:v>1290</x:v>
      </x:c>
      <x:c r="G478" s="2" t="str">
        <x:v>Simulated</x:v>
      </x:c>
    </x:row>
    <x:row r="479" ht="22" customHeight="1">
      <x:c r="A479" s="2" t="str">
        <x:v>BK-TC-04005-009</x:v>
      </x:c>
      <x:c r="B479" s="2" t="str">
        <x:v>TC-04005</x:v>
      </x:c>
      <x:c r="C479" s="12" t="n">
        <x:v>46253</x:v>
      </x:c>
      <x:c r="D479" s="2" t="n">
        <x:v>1</x:v>
      </x:c>
      <x:c r="E479" s="2" t="str">
        <x:v>Online</x:v>
      </x:c>
      <x:c r="F479" s="14" t="n">
        <x:v>1290</x:v>
      </x:c>
      <x:c r="G479" s="2" t="str">
        <x:v>Simulated</x:v>
      </x:c>
    </x:row>
    <x:row r="480" ht="22" customHeight="1">
      <x:c r="A480" s="2" t="str">
        <x:v>BK-TC-04005-010</x:v>
      </x:c>
      <x:c r="B480" s="2" t="str">
        <x:v>TC-04005</x:v>
      </x:c>
      <x:c r="C480" s="12" t="n">
        <x:v>46207</x:v>
      </x:c>
      <x:c r="D480" s="2" t="n">
        <x:v>1</x:v>
      </x:c>
      <x:c r="E480" s="2" t="str">
        <x:v>Retail</x:v>
      </x:c>
      <x:c r="F480" s="14" t="n">
        <x:v>1290</x:v>
      </x:c>
      <x:c r="G480" s="2" t="str">
        <x:v>Simulated</x:v>
      </x:c>
    </x:row>
    <x:row r="481" ht="22" customHeight="1">
      <x:c r="A481" s="2" t="str">
        <x:v>BK-TC-04005-011</x:v>
      </x:c>
      <x:c r="B481" s="2" t="str">
        <x:v>TC-04005</x:v>
      </x:c>
      <x:c r="C481" s="12" t="n">
        <x:v>46210</x:v>
      </x:c>
      <x:c r="D481" s="2" t="n">
        <x:v>1</x:v>
      </x:c>
      <x:c r="E481" s="2" t="str">
        <x:v>Retail</x:v>
      </x:c>
      <x:c r="F481" s="14" t="n">
        <x:v>1290</x:v>
      </x:c>
      <x:c r="G481" s="2" t="str">
        <x:v>Simulated</x:v>
      </x:c>
    </x:row>
    <x:row r="482" ht="22" customHeight="1">
      <x:c r="A482" s="2" t="str">
        <x:v>BK-TC-04005-012</x:v>
      </x:c>
      <x:c r="B482" s="2" t="str">
        <x:v>TC-04005</x:v>
      </x:c>
      <x:c r="C482" s="12" t="n">
        <x:v>46217</x:v>
      </x:c>
      <x:c r="D482" s="2" t="n">
        <x:v>1</x:v>
      </x:c>
      <x:c r="E482" s="2" t="str">
        <x:v>Retail</x:v>
      </x:c>
      <x:c r="F482" s="14" t="n">
        <x:v>1290</x:v>
      </x:c>
      <x:c r="G482" s="2" t="str">
        <x:v>Simulated</x:v>
      </x:c>
    </x:row>
    <x:row r="483" ht="22" customHeight="1">
      <x:c r="A483" s="2" t="str">
        <x:v>BK-TC-04005-013</x:v>
      </x:c>
      <x:c r="B483" s="2" t="str">
        <x:v>TC-04005</x:v>
      </x:c>
      <x:c r="C483" s="12" t="n">
        <x:v>46222</x:v>
      </x:c>
      <x:c r="D483" s="2" t="n">
        <x:v>1</x:v>
      </x:c>
      <x:c r="E483" s="2" t="str">
        <x:v>Online</x:v>
      </x:c>
      <x:c r="F483" s="14" t="n">
        <x:v>1290</x:v>
      </x:c>
      <x:c r="G483" s="2" t="str">
        <x:v>Simulated</x:v>
      </x:c>
    </x:row>
    <x:row r="484" ht="22" customHeight="1">
      <x:c r="A484" s="2" t="str">
        <x:v>BK-TC-04006-001</x:v>
      </x:c>
      <x:c r="B484" s="2" t="str">
        <x:v>TC-04006</x:v>
      </x:c>
      <x:c r="C484" s="12" t="n">
        <x:v>46289</x:v>
      </x:c>
      <x:c r="D484" s="2" t="n">
        <x:v>1</x:v>
      </x:c>
      <x:c r="E484" s="2" t="str">
        <x:v>Trade</x:v>
      </x:c>
      <x:c r="F484" s="14" t="n">
        <x:v>1290</x:v>
      </x:c>
      <x:c r="G484" s="2" t="str">
        <x:v>Simulated</x:v>
      </x:c>
    </x:row>
    <x:row r="485" ht="22" customHeight="1">
      <x:c r="A485" s="2" t="str">
        <x:v>BK-TC-04006-002</x:v>
      </x:c>
      <x:c r="B485" s="2" t="str">
        <x:v>TC-04006</x:v>
      </x:c>
      <x:c r="C485" s="12" t="n">
        <x:v>46271</x:v>
      </x:c>
      <x:c r="D485" s="2" t="n">
        <x:v>1</x:v>
      </x:c>
      <x:c r="E485" s="2" t="str">
        <x:v>Online</x:v>
      </x:c>
      <x:c r="F485" s="14" t="n">
        <x:v>1290</x:v>
      </x:c>
      <x:c r="G485" s="2" t="str">
        <x:v>Simulated</x:v>
      </x:c>
    </x:row>
    <x:row r="486" ht="22" customHeight="1">
      <x:c r="A486" s="2" t="str">
        <x:v>BK-TC-04006-003</x:v>
      </x:c>
      <x:c r="B486" s="2" t="str">
        <x:v>TC-04006</x:v>
      </x:c>
      <x:c r="C486" s="12" t="n">
        <x:v>46267</x:v>
      </x:c>
      <x:c r="D486" s="2" t="n">
        <x:v>1</x:v>
      </x:c>
      <x:c r="E486" s="2" t="str">
        <x:v>Trade</x:v>
      </x:c>
      <x:c r="F486" s="14" t="n">
        <x:v>1290</x:v>
      </x:c>
      <x:c r="G486" s="2" t="str">
        <x:v>Simulated</x:v>
      </x:c>
    </x:row>
    <x:row r="487" ht="22" customHeight="1">
      <x:c r="A487" s="2" t="str">
        <x:v>BK-TC-04006-004</x:v>
      </x:c>
      <x:c r="B487" s="2" t="str">
        <x:v>TC-04006</x:v>
      </x:c>
      <x:c r="C487" s="12" t="n">
        <x:v>46222</x:v>
      </x:c>
      <x:c r="D487" s="2" t="n">
        <x:v>1</x:v>
      </x:c>
      <x:c r="E487" s="2" t="str">
        <x:v>Online</x:v>
      </x:c>
      <x:c r="F487" s="14" t="n">
        <x:v>1290</x:v>
      </x:c>
      <x:c r="G487" s="2" t="str">
        <x:v>Simulated</x:v>
      </x:c>
    </x:row>
    <x:row r="488" ht="22" customHeight="1">
      <x:c r="A488" s="2" t="str">
        <x:v>BK-TC-04006-005</x:v>
      </x:c>
      <x:c r="B488" s="2" t="str">
        <x:v>TC-04006</x:v>
      </x:c>
      <x:c r="C488" s="12" t="n">
        <x:v>46220</x:v>
      </x:c>
      <x:c r="D488" s="2" t="n">
        <x:v>1</x:v>
      </x:c>
      <x:c r="E488" s="2" t="str">
        <x:v>Trade</x:v>
      </x:c>
      <x:c r="F488" s="14" t="n">
        <x:v>1290</x:v>
      </x:c>
      <x:c r="G488" s="2" t="str">
        <x:v>Simulated</x:v>
      </x:c>
    </x:row>
    <x:row r="489" ht="22" customHeight="1">
      <x:c r="A489" s="2" t="str">
        <x:v>BK-TC-04006-006</x:v>
      </x:c>
      <x:c r="B489" s="2" t="str">
        <x:v>TC-04006</x:v>
      </x:c>
      <x:c r="C489" s="12" t="n">
        <x:v>46235</x:v>
      </x:c>
      <x:c r="D489" s="2" t="n">
        <x:v>1</x:v>
      </x:c>
      <x:c r="E489" s="2" t="str">
        <x:v>Trade</x:v>
      </x:c>
      <x:c r="F489" s="14" t="n">
        <x:v>1290</x:v>
      </x:c>
      <x:c r="G489" s="2" t="str">
        <x:v>Simulated</x:v>
      </x:c>
    </x:row>
    <x:row r="490" ht="22" customHeight="1">
      <x:c r="A490" s="2" t="str">
        <x:v>BK-TC-04006-007</x:v>
      </x:c>
      <x:c r="B490" s="2" t="str">
        <x:v>TC-04006</x:v>
      </x:c>
      <x:c r="C490" s="12" t="n">
        <x:v>46251</x:v>
      </x:c>
      <x:c r="D490" s="2" t="n">
        <x:v>1</x:v>
      </x:c>
      <x:c r="E490" s="2" t="str">
        <x:v>Trade</x:v>
      </x:c>
      <x:c r="F490" s="14" t="n">
        <x:v>1290</x:v>
      </x:c>
      <x:c r="G490" s="2" t="str">
        <x:v>Simulated</x:v>
      </x:c>
    </x:row>
    <x:row r="491" ht="22" customHeight="1">
      <x:c r="A491" s="2" t="str">
        <x:v>BK-TC-04006-008</x:v>
      </x:c>
      <x:c r="B491" s="2" t="str">
        <x:v>TC-04006</x:v>
      </x:c>
      <x:c r="C491" s="12" t="n">
        <x:v>46214</x:v>
      </x:c>
      <x:c r="D491" s="2" t="n">
        <x:v>1</x:v>
      </x:c>
      <x:c r="E491" s="2" t="str">
        <x:v>Online</x:v>
      </x:c>
      <x:c r="F491" s="14" t="n">
        <x:v>1290</x:v>
      </x:c>
      <x:c r="G491" s="2" t="str">
        <x:v>Simulated</x:v>
      </x:c>
    </x:row>
    <x:row r="492" ht="22" customHeight="1">
      <x:c r="A492" s="2" t="str">
        <x:v>BK-TC-04007-001</x:v>
      </x:c>
      <x:c r="B492" s="2" t="str">
        <x:v>TC-04007</x:v>
      </x:c>
      <x:c r="C492" s="12" t="n">
        <x:v>46297</x:v>
      </x:c>
      <x:c r="D492" s="2" t="n">
        <x:v>1</x:v>
      </x:c>
      <x:c r="E492" s="2" t="str">
        <x:v>Trade</x:v>
      </x:c>
      <x:c r="F492" s="14" t="n">
        <x:v>1290</x:v>
      </x:c>
      <x:c r="G492" s="2" t="str">
        <x:v>Simulated</x:v>
      </x:c>
    </x:row>
    <x:row r="493" ht="22" customHeight="1">
      <x:c r="A493" s="2" t="str">
        <x:v>BK-TC-04007-002</x:v>
      </x:c>
      <x:c r="B493" s="2" t="str">
        <x:v>TC-04007</x:v>
      </x:c>
      <x:c r="C493" s="12" t="n">
        <x:v>46284</x:v>
      </x:c>
      <x:c r="D493" s="2" t="n">
        <x:v>1</x:v>
      </x:c>
      <x:c r="E493" s="2" t="str">
        <x:v>Online</x:v>
      </x:c>
      <x:c r="F493" s="14" t="n">
        <x:v>1290</x:v>
      </x:c>
      <x:c r="G493" s="2" t="str">
        <x:v>Simulated</x:v>
      </x:c>
    </x:row>
    <x:row r="494" ht="22" customHeight="1">
      <x:c r="A494" s="2" t="str">
        <x:v>BK-TC-04007-003</x:v>
      </x:c>
      <x:c r="B494" s="2" t="str">
        <x:v>TC-04007</x:v>
      </x:c>
      <x:c r="C494" s="12" t="n">
        <x:v>46250</x:v>
      </x:c>
      <x:c r="D494" s="2" t="n">
        <x:v>1</x:v>
      </x:c>
      <x:c r="E494" s="2" t="str">
        <x:v>Trade</x:v>
      </x:c>
      <x:c r="F494" s="14" t="n">
        <x:v>1290</x:v>
      </x:c>
      <x:c r="G494" s="2" t="str">
        <x:v>Simulated</x:v>
      </x:c>
    </x:row>
    <x:row r="495" ht="22" customHeight="1">
      <x:c r="A495" s="2" t="str">
        <x:v>BK-TC-04007-004</x:v>
      </x:c>
      <x:c r="B495" s="2" t="str">
        <x:v>TC-04007</x:v>
      </x:c>
      <x:c r="C495" s="12" t="n">
        <x:v>46240</x:v>
      </x:c>
      <x:c r="D495" s="2" t="n">
        <x:v>1</x:v>
      </x:c>
      <x:c r="E495" s="2" t="str">
        <x:v>Online</x:v>
      </x:c>
      <x:c r="F495" s="14" t="n">
        <x:v>1290</x:v>
      </x:c>
      <x:c r="G495" s="2" t="str">
        <x:v>Simulated</x:v>
      </x:c>
    </x:row>
    <x:row r="496" ht="22" customHeight="1">
      <x:c r="A496" s="2" t="str">
        <x:v>BK-TC-04007-005</x:v>
      </x:c>
      <x:c r="B496" s="2" t="str">
        <x:v>TC-04007</x:v>
      </x:c>
      <x:c r="C496" s="12" t="n">
        <x:v>46262</x:v>
      </x:c>
      <x:c r="D496" s="2" t="n">
        <x:v>1</x:v>
      </x:c>
      <x:c r="E496" s="2" t="str">
        <x:v>Retail</x:v>
      </x:c>
      <x:c r="F496" s="14" t="n">
        <x:v>1290</x:v>
      </x:c>
      <x:c r="G496" s="2" t="str">
        <x:v>Simulated</x:v>
      </x:c>
    </x:row>
    <x:row r="497" ht="22" customHeight="1">
      <x:c r="A497" s="2" t="str">
        <x:v>BK-TC-04007-006</x:v>
      </x:c>
      <x:c r="B497" s="2" t="str">
        <x:v>TC-04007</x:v>
      </x:c>
      <x:c r="C497" s="12" t="n">
        <x:v>46265</x:v>
      </x:c>
      <x:c r="D497" s="2" t="n">
        <x:v>1</x:v>
      </x:c>
      <x:c r="E497" s="2" t="str">
        <x:v>Retail</x:v>
      </x:c>
      <x:c r="F497" s="14" t="n">
        <x:v>1290</x:v>
      </x:c>
      <x:c r="G497" s="2" t="str">
        <x:v>Simulated</x:v>
      </x:c>
    </x:row>
    <x:row r="498" ht="22" customHeight="1">
      <x:c r="A498" s="2" t="str">
        <x:v>BK-TC-04007-007</x:v>
      </x:c>
      <x:c r="B498" s="2" t="str">
        <x:v>TC-04007</x:v>
      </x:c>
      <x:c r="C498" s="12" t="n">
        <x:v>46290</x:v>
      </x:c>
      <x:c r="D498" s="2" t="n">
        <x:v>1</x:v>
      </x:c>
      <x:c r="E498" s="2" t="str">
        <x:v>Online</x:v>
      </x:c>
      <x:c r="F498" s="14" t="n">
        <x:v>1290</x:v>
      </x:c>
      <x:c r="G498" s="2" t="str">
        <x:v>Simulated</x:v>
      </x:c>
    </x:row>
    <x:row r="499" ht="22" customHeight="1">
      <x:c r="A499" s="2" t="str">
        <x:v>BK-TC-04008-001</x:v>
      </x:c>
      <x:c r="B499" s="2" t="str">
        <x:v>TC-04008</x:v>
      </x:c>
      <x:c r="C499" s="12" t="n">
        <x:v>46256</x:v>
      </x:c>
      <x:c r="D499" s="2" t="n">
        <x:v>1</x:v>
      </x:c>
      <x:c r="E499" s="2" t="str">
        <x:v>Retail</x:v>
      </x:c>
      <x:c r="F499" s="14" t="n">
        <x:v>1290</x:v>
      </x:c>
      <x:c r="G499" s="2" t="str">
        <x:v>Simulated</x:v>
      </x:c>
    </x:row>
    <x:row r="500" ht="22" customHeight="1">
      <x:c r="A500" s="2" t="str">
        <x:v>BK-TC-04008-002</x:v>
      </x:c>
      <x:c r="B500" s="2" t="str">
        <x:v>TC-04008</x:v>
      </x:c>
      <x:c r="C500" s="12" t="n">
        <x:v>46249</x:v>
      </x:c>
      <x:c r="D500" s="2" t="n">
        <x:v>1</x:v>
      </x:c>
      <x:c r="E500" s="2" t="str">
        <x:v>Trade</x:v>
      </x:c>
      <x:c r="F500" s="14" t="n">
        <x:v>1290</x:v>
      </x:c>
      <x:c r="G500" s="2" t="str">
        <x:v>Simulated</x:v>
      </x:c>
    </x:row>
    <x:row r="501" ht="22" customHeight="1">
      <x:c r="A501" s="2" t="str">
        <x:v>BK-TC-04008-003</x:v>
      </x:c>
      <x:c r="B501" s="2" t="str">
        <x:v>TC-04008</x:v>
      </x:c>
      <x:c r="C501" s="12" t="n">
        <x:v>46269</x:v>
      </x:c>
      <x:c r="D501" s="2" t="n">
        <x:v>1</x:v>
      </x:c>
      <x:c r="E501" s="2" t="str">
        <x:v>Online</x:v>
      </x:c>
      <x:c r="F501" s="14" t="n">
        <x:v>1290</x:v>
      </x:c>
      <x:c r="G501" s="2" t="str">
        <x:v>Simulated</x:v>
      </x:c>
    </x:row>
    <x:row r="502" ht="22" customHeight="1">
      <x:c r="A502" s="2" t="str">
        <x:v>BK-TC-04008-004</x:v>
      </x:c>
      <x:c r="B502" s="2" t="str">
        <x:v>TC-04008</x:v>
      </x:c>
      <x:c r="C502" s="12" t="n">
        <x:v>46269</x:v>
      </x:c>
      <x:c r="D502" s="2" t="n">
        <x:v>1</x:v>
      </x:c>
      <x:c r="E502" s="2" t="str">
        <x:v>Trade</x:v>
      </x:c>
      <x:c r="F502" s="14" t="n">
        <x:v>1290</x:v>
      </x:c>
      <x:c r="G502" s="2" t="str">
        <x:v>Simulated</x:v>
      </x:c>
    </x:row>
    <x:row r="503" ht="22" customHeight="1">
      <x:c r="A503" s="2" t="str">
        <x:v>BK-TC-04008-005</x:v>
      </x:c>
      <x:c r="B503" s="2" t="str">
        <x:v>TC-04008</x:v>
      </x:c>
      <x:c r="C503" s="12" t="n">
        <x:v>46303</x:v>
      </x:c>
      <x:c r="D503" s="2" t="n">
        <x:v>1</x:v>
      </x:c>
      <x:c r="E503" s="2" t="str">
        <x:v>Online</x:v>
      </x:c>
      <x:c r="F503" s="14" t="n">
        <x:v>1290</x:v>
      </x:c>
      <x:c r="G503" s="2" t="str">
        <x:v>Simulated</x:v>
      </x:c>
    </x:row>
    <x:row r="504" ht="22" customHeight="1">
      <x:c r="A504" s="2" t="str">
        <x:v>BK-TC-04008-006</x:v>
      </x:c>
      <x:c r="B504" s="2" t="str">
        <x:v>TC-04008</x:v>
      </x:c>
      <x:c r="C504" s="12" t="n">
        <x:v>46276</x:v>
      </x:c>
      <x:c r="D504" s="2" t="n">
        <x:v>1</x:v>
      </x:c>
      <x:c r="E504" s="2" t="str">
        <x:v>Trade</x:v>
      </x:c>
      <x:c r="F504" s="14" t="n">
        <x:v>1290</x:v>
      </x:c>
      <x:c r="G504" s="2" t="str">
        <x:v>Simulated</x:v>
      </x:c>
    </x:row>
    <x:row r="505" ht="22" customHeight="1">
      <x:c r="A505" s="2" t="str">
        <x:v>BK-TC-04008-007</x:v>
      </x:c>
      <x:c r="B505" s="2" t="str">
        <x:v>TC-04008</x:v>
      </x:c>
      <x:c r="C505" s="12" t="n">
        <x:v>46266</x:v>
      </x:c>
      <x:c r="D505" s="2" t="n">
        <x:v>1</x:v>
      </x:c>
      <x:c r="E505" s="2" t="str">
        <x:v>Retail</x:v>
      </x:c>
      <x:c r="F505" s="14" t="n">
        <x:v>1290</x:v>
      </x:c>
      <x:c r="G505" s="2" t="str">
        <x:v>Simulated</x:v>
      </x:c>
    </x:row>
    <x:row r="506" ht="22" customHeight="1">
      <x:c r="A506" s="2" t="str">
        <x:v>BK-TC-05001-001</x:v>
      </x:c>
      <x:c r="B506" s="2" t="str">
        <x:v>TC-05001</x:v>
      </x:c>
      <x:c r="C506" s="12" t="n">
        <x:v>46170</x:v>
      </x:c>
      <x:c r="D506" s="2" t="n">
        <x:v>1</x:v>
      </x:c>
      <x:c r="E506" s="2" t="str">
        <x:v>Online</x:v>
      </x:c>
      <x:c r="F506" s="14" t="n">
        <x:v>1690</x:v>
      </x:c>
      <x:c r="G506" s="2" t="str">
        <x:v>Simulated</x:v>
      </x:c>
    </x:row>
    <x:row r="507" ht="22" customHeight="1">
      <x:c r="A507" s="2" t="str">
        <x:v>BK-TC-05001-002</x:v>
      </x:c>
      <x:c r="B507" s="2" t="str">
        <x:v>TC-05001</x:v>
      </x:c>
      <x:c r="C507" s="12" t="n">
        <x:v>46163</x:v>
      </x:c>
      <x:c r="D507" s="2" t="n">
        <x:v>1</x:v>
      </x:c>
      <x:c r="E507" s="2" t="str">
        <x:v>Trade</x:v>
      </x:c>
      <x:c r="F507" s="14" t="n">
        <x:v>1690</x:v>
      </x:c>
      <x:c r="G507" s="2" t="str">
        <x:v>Simulated</x:v>
      </x:c>
    </x:row>
    <x:row r="508" ht="22" customHeight="1">
      <x:c r="A508" s="2" t="str">
        <x:v>BK-TC-05001-003</x:v>
      </x:c>
      <x:c r="B508" s="2" t="str">
        <x:v>TC-05001</x:v>
      </x:c>
      <x:c r="C508" s="12" t="n">
        <x:v>46148</x:v>
      </x:c>
      <x:c r="D508" s="2" t="n">
        <x:v>1</x:v>
      </x:c>
      <x:c r="E508" s="2" t="str">
        <x:v>Retail</x:v>
      </x:c>
      <x:c r="F508" s="14" t="n">
        <x:v>1690</x:v>
      </x:c>
      <x:c r="G508" s="2" t="str">
        <x:v>Simulated</x:v>
      </x:c>
    </x:row>
    <x:row r="509" ht="22" customHeight="1">
      <x:c r="A509" s="2" t="str">
        <x:v>BK-TC-05001-004</x:v>
      </x:c>
      <x:c r="B509" s="2" t="str">
        <x:v>TC-05001</x:v>
      </x:c>
      <x:c r="C509" s="12" t="n">
        <x:v>46207</x:v>
      </x:c>
      <x:c r="D509" s="2" t="n">
        <x:v>1</x:v>
      </x:c>
      <x:c r="E509" s="2" t="str">
        <x:v>Online</x:v>
      </x:c>
      <x:c r="F509" s="14" t="n">
        <x:v>1690</x:v>
      </x:c>
      <x:c r="G509" s="2" t="str">
        <x:v>Simulated</x:v>
      </x:c>
    </x:row>
    <x:row r="510" ht="22" customHeight="1">
      <x:c r="A510" s="2" t="str">
        <x:v>BK-TC-05001-005</x:v>
      </x:c>
      <x:c r="B510" s="2" t="str">
        <x:v>TC-05001</x:v>
      </x:c>
      <x:c r="C510" s="12" t="n">
        <x:v>46279</x:v>
      </x:c>
      <x:c r="D510" s="2" t="n">
        <x:v>1</x:v>
      </x:c>
      <x:c r="E510" s="2" t="str">
        <x:v>Trade</x:v>
      </x:c>
      <x:c r="F510" s="14" t="n">
        <x:v>1690</x:v>
      </x:c>
      <x:c r="G510" s="2" t="str">
        <x:v>Simulated</x:v>
      </x:c>
    </x:row>
    <x:row r="511" ht="22" customHeight="1">
      <x:c r="A511" s="2" t="str">
        <x:v>BK-TC-05001-006</x:v>
      </x:c>
      <x:c r="B511" s="2" t="str">
        <x:v>TC-05001</x:v>
      </x:c>
      <x:c r="C511" s="12" t="n">
        <x:v>46150</x:v>
      </x:c>
      <x:c r="D511" s="2" t="n">
        <x:v>1</x:v>
      </x:c>
      <x:c r="E511" s="2" t="str">
        <x:v>Retail</x:v>
      </x:c>
      <x:c r="F511" s="14" t="n">
        <x:v>1690</x:v>
      </x:c>
      <x:c r="G511" s="2" t="str">
        <x:v>Simulated</x:v>
      </x:c>
    </x:row>
    <x:row r="512" ht="22" customHeight="1">
      <x:c r="A512" s="2" t="str">
        <x:v>BK-TC-05001-007</x:v>
      </x:c>
      <x:c r="B512" s="2" t="str">
        <x:v>TC-05001</x:v>
      </x:c>
      <x:c r="C512" s="12" t="n">
        <x:v>46208</x:v>
      </x:c>
      <x:c r="D512" s="2" t="n">
        <x:v>1</x:v>
      </x:c>
      <x:c r="E512" s="2" t="str">
        <x:v>Online</x:v>
      </x:c>
      <x:c r="F512" s="14" t="n">
        <x:v>1690</x:v>
      </x:c>
      <x:c r="G512" s="2" t="str">
        <x:v>Simulated</x:v>
      </x:c>
    </x:row>
    <x:row r="513" ht="22" customHeight="1">
      <x:c r="A513" s="2" t="str">
        <x:v>BK-TC-05001-008</x:v>
      </x:c>
      <x:c r="B513" s="2" t="str">
        <x:v>TC-05001</x:v>
      </x:c>
      <x:c r="C513" s="12" t="n">
        <x:v>46298</x:v>
      </x:c>
      <x:c r="D513" s="2" t="n">
        <x:v>1</x:v>
      </x:c>
      <x:c r="E513" s="2" t="str">
        <x:v>Online</x:v>
      </x:c>
      <x:c r="F513" s="14" t="n">
        <x:v>1690</x:v>
      </x:c>
      <x:c r="G513" s="2" t="str">
        <x:v>Simulated</x:v>
      </x:c>
    </x:row>
    <x:row r="514" ht="22" customHeight="1">
      <x:c r="A514" s="2" t="str">
        <x:v>BK-TC-05001-009</x:v>
      </x:c>
      <x:c r="B514" s="2" t="str">
        <x:v>TC-05001</x:v>
      </x:c>
      <x:c r="C514" s="12" t="n">
        <x:v>46254</x:v>
      </x:c>
      <x:c r="D514" s="2" t="n">
        <x:v>1</x:v>
      </x:c>
      <x:c r="E514" s="2" t="str">
        <x:v>Retail</x:v>
      </x:c>
      <x:c r="F514" s="14" t="n">
        <x:v>1690</x:v>
      </x:c>
      <x:c r="G514" s="2" t="str">
        <x:v>Simulated</x:v>
      </x:c>
    </x:row>
    <x:row r="515" ht="22" customHeight="1">
      <x:c r="A515" s="2" t="str">
        <x:v>BK-TC-05001-010</x:v>
      </x:c>
      <x:c r="B515" s="2" t="str">
        <x:v>TC-05001</x:v>
      </x:c>
      <x:c r="C515" s="12" t="n">
        <x:v>46245</x:v>
      </x:c>
      <x:c r="D515" s="2" t="n">
        <x:v>1</x:v>
      </x:c>
      <x:c r="E515" s="2" t="str">
        <x:v>Retail</x:v>
      </x:c>
      <x:c r="F515" s="14" t="n">
        <x:v>1690</x:v>
      </x:c>
      <x:c r="G515" s="2" t="str">
        <x:v>Simulated</x:v>
      </x:c>
    </x:row>
    <x:row r="516" ht="22" customHeight="1">
      <x:c r="A516" s="2" t="str">
        <x:v>BK-TC-05001-011</x:v>
      </x:c>
      <x:c r="B516" s="2" t="str">
        <x:v>TC-05001</x:v>
      </x:c>
      <x:c r="C516" s="12" t="n">
        <x:v>46236</x:v>
      </x:c>
      <x:c r="D516" s="2" t="n">
        <x:v>1</x:v>
      </x:c>
      <x:c r="E516" s="2" t="str">
        <x:v>Trade</x:v>
      </x:c>
      <x:c r="F516" s="14" t="n">
        <x:v>1690</x:v>
      </x:c>
      <x:c r="G516" s="2" t="str">
        <x:v>Simulated</x:v>
      </x:c>
    </x:row>
    <x:row r="517" ht="22" customHeight="1">
      <x:c r="A517" s="2" t="str">
        <x:v>BK-TC-05001-012</x:v>
      </x:c>
      <x:c r="B517" s="2" t="str">
        <x:v>TC-05001</x:v>
      </x:c>
      <x:c r="C517" s="12" t="n">
        <x:v>46300</x:v>
      </x:c>
      <x:c r="D517" s="2" t="n">
        <x:v>1</x:v>
      </x:c>
      <x:c r="E517" s="2" t="str">
        <x:v>Retail</x:v>
      </x:c>
      <x:c r="F517" s="14" t="n">
        <x:v>1690</x:v>
      </x:c>
      <x:c r="G517" s="2" t="str">
        <x:v>Simulated</x:v>
      </x:c>
    </x:row>
    <x:row r="518" ht="22" customHeight="1">
      <x:c r="A518" s="2" t="str">
        <x:v>BK-TC-05001-013</x:v>
      </x:c>
      <x:c r="B518" s="2" t="str">
        <x:v>TC-05001</x:v>
      </x:c>
      <x:c r="C518" s="12" t="n">
        <x:v>46226</x:v>
      </x:c>
      <x:c r="D518" s="2" t="n">
        <x:v>1</x:v>
      </x:c>
      <x:c r="E518" s="2" t="str">
        <x:v>Online</x:v>
      </x:c>
      <x:c r="F518" s="14" t="n">
        <x:v>1690</x:v>
      </x:c>
      <x:c r="G518" s="2" t="str">
        <x:v>Simulated</x:v>
      </x:c>
    </x:row>
    <x:row r="519" ht="22" customHeight="1">
      <x:c r="A519" s="2" t="str">
        <x:v>BK-TC-05001-014</x:v>
      </x:c>
      <x:c r="B519" s="2" t="str">
        <x:v>TC-05001</x:v>
      </x:c>
      <x:c r="C519" s="12" t="n">
        <x:v>46203</x:v>
      </x:c>
      <x:c r="D519" s="2" t="n">
        <x:v>1</x:v>
      </x:c>
      <x:c r="E519" s="2" t="str">
        <x:v>Trade</x:v>
      </x:c>
      <x:c r="F519" s="14" t="n">
        <x:v>1690</x:v>
      </x:c>
      <x:c r="G519" s="2" t="str">
        <x:v>Simulated</x:v>
      </x:c>
    </x:row>
    <x:row r="520" ht="22" customHeight="1">
      <x:c r="A520" s="2" t="str">
        <x:v>BK-TC-05001-015</x:v>
      </x:c>
      <x:c r="B520" s="2" t="str">
        <x:v>TC-05001</x:v>
      </x:c>
      <x:c r="C520" s="12" t="n">
        <x:v>46223</x:v>
      </x:c>
      <x:c r="D520" s="2" t="n">
        <x:v>1</x:v>
      </x:c>
      <x:c r="E520" s="2" t="str">
        <x:v>Online</x:v>
      </x:c>
      <x:c r="F520" s="14" t="n">
        <x:v>1690</x:v>
      </x:c>
      <x:c r="G520" s="2" t="str">
        <x:v>Simulated</x:v>
      </x:c>
    </x:row>
    <x:row r="521" ht="22" customHeight="1">
      <x:c r="A521" s="2" t="str">
        <x:v>BK-TC-05001-016</x:v>
      </x:c>
      <x:c r="B521" s="2" t="str">
        <x:v>TC-05001</x:v>
      </x:c>
      <x:c r="C521" s="12" t="n">
        <x:v>46180</x:v>
      </x:c>
      <x:c r="D521" s="2" t="n">
        <x:v>1</x:v>
      </x:c>
      <x:c r="E521" s="2" t="str">
        <x:v>Online</x:v>
      </x:c>
      <x:c r="F521" s="14" t="n">
        <x:v>1690</x:v>
      </x:c>
      <x:c r="G521" s="2" t="str">
        <x:v>Simulated</x:v>
      </x:c>
    </x:row>
    <x:row r="522" ht="22" customHeight="1">
      <x:c r="A522" s="2" t="str">
        <x:v>BK-TC-05001-017</x:v>
      </x:c>
      <x:c r="B522" s="2" t="str">
        <x:v>TC-05001</x:v>
      </x:c>
      <x:c r="C522" s="12" t="n">
        <x:v>46201</x:v>
      </x:c>
      <x:c r="D522" s="2" t="n">
        <x:v>1</x:v>
      </x:c>
      <x:c r="E522" s="2" t="str">
        <x:v>Trade</x:v>
      </x:c>
      <x:c r="F522" s="14" t="n">
        <x:v>1690</x:v>
      </x:c>
      <x:c r="G522" s="2" t="str">
        <x:v>Simulated</x:v>
      </x:c>
    </x:row>
    <x:row r="523" ht="22" customHeight="1">
      <x:c r="A523" s="2" t="str">
        <x:v>BK-TC-05001-018</x:v>
      </x:c>
      <x:c r="B523" s="2" t="str">
        <x:v>TC-05001</x:v>
      </x:c>
      <x:c r="C523" s="12" t="n">
        <x:v>46221</x:v>
      </x:c>
      <x:c r="D523" s="2" t="n">
        <x:v>1</x:v>
      </x:c>
      <x:c r="E523" s="2" t="str">
        <x:v>Trade</x:v>
      </x:c>
      <x:c r="F523" s="14" t="n">
        <x:v>1690</x:v>
      </x:c>
      <x:c r="G523" s="2" t="str">
        <x:v>Simulated</x:v>
      </x:c>
    </x:row>
    <x:row r="524" ht="22" customHeight="1">
      <x:c r="A524" s="2" t="str">
        <x:v>BK-TC-05001-019</x:v>
      </x:c>
      <x:c r="B524" s="2" t="str">
        <x:v>TC-05001</x:v>
      </x:c>
      <x:c r="C524" s="12" t="n">
        <x:v>46262</x:v>
      </x:c>
      <x:c r="D524" s="2" t="n">
        <x:v>1</x:v>
      </x:c>
      <x:c r="E524" s="2" t="str">
        <x:v>Retail</x:v>
      </x:c>
      <x:c r="F524" s="14" t="n">
        <x:v>1690</x:v>
      </x:c>
      <x:c r="G524" s="2" t="str">
        <x:v>Simulated</x:v>
      </x:c>
    </x:row>
    <x:row r="525" ht="22" customHeight="1">
      <x:c r="A525" s="2" t="str">
        <x:v>BK-TC-05001-020</x:v>
      </x:c>
      <x:c r="B525" s="2" t="str">
        <x:v>TC-05001</x:v>
      </x:c>
      <x:c r="C525" s="12" t="n">
        <x:v>46227</x:v>
      </x:c>
      <x:c r="D525" s="2" t="n">
        <x:v>1</x:v>
      </x:c>
      <x:c r="E525" s="2" t="str">
        <x:v>Online</x:v>
      </x:c>
      <x:c r="F525" s="14" t="n">
        <x:v>1690</x:v>
      </x:c>
      <x:c r="G525" s="2" t="str">
        <x:v>Simulated</x:v>
      </x:c>
    </x:row>
    <x:row r="526" ht="22" customHeight="1">
      <x:c r="A526" s="2" t="str">
        <x:v>BK-TC-05001-021</x:v>
      </x:c>
      <x:c r="B526" s="2" t="str">
        <x:v>TC-05001</x:v>
      </x:c>
      <x:c r="C526" s="12" t="n">
        <x:v>46200</x:v>
      </x:c>
      <x:c r="D526" s="2" t="n">
        <x:v>1</x:v>
      </x:c>
      <x:c r="E526" s="2" t="str">
        <x:v>Trade</x:v>
      </x:c>
      <x:c r="F526" s="14" t="n">
        <x:v>1690</x:v>
      </x:c>
      <x:c r="G526" s="2" t="str">
        <x:v>Simulated</x:v>
      </x:c>
    </x:row>
    <x:row r="527" ht="22" customHeight="1">
      <x:c r="A527" s="2" t="str">
        <x:v>BK-TC-05002-001</x:v>
      </x:c>
      <x:c r="B527" s="2" t="str">
        <x:v>TC-05002</x:v>
      </x:c>
      <x:c r="C527" s="12" t="n">
        <x:v>46149</x:v>
      </x:c>
      <x:c r="D527" s="2" t="n">
        <x:v>1</x:v>
      </x:c>
      <x:c r="E527" s="2" t="str">
        <x:v>Trade</x:v>
      </x:c>
      <x:c r="F527" s="14" t="n">
        <x:v>1690</x:v>
      </x:c>
      <x:c r="G527" s="2" t="str">
        <x:v>Simulated</x:v>
      </x:c>
    </x:row>
    <x:row r="528" ht="22" customHeight="1">
      <x:c r="A528" s="2" t="str">
        <x:v>BK-TC-05002-002</x:v>
      </x:c>
      <x:c r="B528" s="2" t="str">
        <x:v>TC-05002</x:v>
      </x:c>
      <x:c r="C528" s="12" t="n">
        <x:v>46257</x:v>
      </x:c>
      <x:c r="D528" s="2" t="n">
        <x:v>1</x:v>
      </x:c>
      <x:c r="E528" s="2" t="str">
        <x:v>Retail</x:v>
      </x:c>
      <x:c r="F528" s="14" t="n">
        <x:v>1690</x:v>
      </x:c>
      <x:c r="G528" s="2" t="str">
        <x:v>Simulated</x:v>
      </x:c>
    </x:row>
    <x:row r="529" ht="22" customHeight="1">
      <x:c r="A529" s="2" t="str">
        <x:v>BK-TC-05002-003</x:v>
      </x:c>
      <x:c r="B529" s="2" t="str">
        <x:v>TC-05002</x:v>
      </x:c>
      <x:c r="C529" s="12" t="n">
        <x:v>46237</x:v>
      </x:c>
      <x:c r="D529" s="2" t="n">
        <x:v>1</x:v>
      </x:c>
      <x:c r="E529" s="2" t="str">
        <x:v>Online</x:v>
      </x:c>
      <x:c r="F529" s="14" t="n">
        <x:v>1690</x:v>
      </x:c>
      <x:c r="G529" s="2" t="str">
        <x:v>Simulated</x:v>
      </x:c>
    </x:row>
    <x:row r="530" ht="22" customHeight="1">
      <x:c r="A530" s="2" t="str">
        <x:v>BK-TC-05002-004</x:v>
      </x:c>
      <x:c r="B530" s="2" t="str">
        <x:v>TC-05002</x:v>
      </x:c>
      <x:c r="C530" s="12" t="n">
        <x:v>46177</x:v>
      </x:c>
      <x:c r="D530" s="2" t="n">
        <x:v>1</x:v>
      </x:c>
      <x:c r="E530" s="2" t="str">
        <x:v>Trade</x:v>
      </x:c>
      <x:c r="F530" s="14" t="n">
        <x:v>1690</x:v>
      </x:c>
      <x:c r="G530" s="2" t="str">
        <x:v>Simulated</x:v>
      </x:c>
    </x:row>
    <x:row r="531" ht="22" customHeight="1">
      <x:c r="A531" s="2" t="str">
        <x:v>BK-TC-05002-005</x:v>
      </x:c>
      <x:c r="B531" s="2" t="str">
        <x:v>TC-05002</x:v>
      </x:c>
      <x:c r="C531" s="12" t="n">
        <x:v>46301</x:v>
      </x:c>
      <x:c r="D531" s="2" t="n">
        <x:v>1</x:v>
      </x:c>
      <x:c r="E531" s="2" t="str">
        <x:v>Online</x:v>
      </x:c>
      <x:c r="F531" s="14" t="n">
        <x:v>1690</x:v>
      </x:c>
      <x:c r="G531" s="2" t="str">
        <x:v>Simulated</x:v>
      </x:c>
    </x:row>
    <x:row r="532" ht="22" customHeight="1">
      <x:c r="A532" s="2" t="str">
        <x:v>BK-TC-05002-006</x:v>
      </x:c>
      <x:c r="B532" s="2" t="str">
        <x:v>TC-05002</x:v>
      </x:c>
      <x:c r="C532" s="12" t="n">
        <x:v>46140</x:v>
      </x:c>
      <x:c r="D532" s="2" t="n">
        <x:v>1</x:v>
      </x:c>
      <x:c r="E532" s="2" t="str">
        <x:v>Online</x:v>
      </x:c>
      <x:c r="F532" s="14" t="n">
        <x:v>1690</x:v>
      </x:c>
      <x:c r="G532" s="2" t="str">
        <x:v>Simulated</x:v>
      </x:c>
    </x:row>
    <x:row r="533" ht="22" customHeight="1">
      <x:c r="A533" s="2" t="str">
        <x:v>BK-TC-05002-007</x:v>
      </x:c>
      <x:c r="B533" s="2" t="str">
        <x:v>TC-05002</x:v>
      </x:c>
      <x:c r="C533" s="12" t="n">
        <x:v>46224</x:v>
      </x:c>
      <x:c r="D533" s="2" t="n">
        <x:v>1</x:v>
      </x:c>
      <x:c r="E533" s="2" t="str">
        <x:v>Trade</x:v>
      </x:c>
      <x:c r="F533" s="14" t="n">
        <x:v>1690</x:v>
      </x:c>
      <x:c r="G533" s="2" t="str">
        <x:v>Simulated</x:v>
      </x:c>
    </x:row>
    <x:row r="534" ht="22" customHeight="1">
      <x:c r="A534" s="2" t="str">
        <x:v>BK-TC-05002-008</x:v>
      </x:c>
      <x:c r="B534" s="2" t="str">
        <x:v>TC-05002</x:v>
      </x:c>
      <x:c r="C534" s="12" t="n">
        <x:v>46271</x:v>
      </x:c>
      <x:c r="D534" s="2" t="n">
        <x:v>1</x:v>
      </x:c>
      <x:c r="E534" s="2" t="str">
        <x:v>Trade</x:v>
      </x:c>
      <x:c r="F534" s="14" t="n">
        <x:v>1690</x:v>
      </x:c>
      <x:c r="G534" s="2" t="str">
        <x:v>Simulated</x:v>
      </x:c>
    </x:row>
    <x:row r="535" ht="22" customHeight="1">
      <x:c r="A535" s="2" t="str">
        <x:v>BK-TC-05002-009</x:v>
      </x:c>
      <x:c r="B535" s="2" t="str">
        <x:v>TC-05002</x:v>
      </x:c>
      <x:c r="C535" s="12" t="n">
        <x:v>46199</x:v>
      </x:c>
      <x:c r="D535" s="2" t="n">
        <x:v>1</x:v>
      </x:c>
      <x:c r="E535" s="2" t="str">
        <x:v>Online</x:v>
      </x:c>
      <x:c r="F535" s="14" t="n">
        <x:v>1690</x:v>
      </x:c>
      <x:c r="G535" s="2" t="str">
        <x:v>Simulated</x:v>
      </x:c>
    </x:row>
    <x:row r="536" ht="22" customHeight="1">
      <x:c r="A536" s="2" t="str">
        <x:v>BK-TC-05002-010</x:v>
      </x:c>
      <x:c r="B536" s="2" t="str">
        <x:v>TC-05002</x:v>
      </x:c>
      <x:c r="C536" s="12" t="n">
        <x:v>46226</x:v>
      </x:c>
      <x:c r="D536" s="2" t="n">
        <x:v>1</x:v>
      </x:c>
      <x:c r="E536" s="2" t="str">
        <x:v>Online</x:v>
      </x:c>
      <x:c r="F536" s="14" t="n">
        <x:v>1690</x:v>
      </x:c>
      <x:c r="G536" s="2" t="str">
        <x:v>Simulated</x:v>
      </x:c>
    </x:row>
    <x:row r="537" ht="22" customHeight="1">
      <x:c r="A537" s="2" t="str">
        <x:v>BK-TC-05002-011</x:v>
      </x:c>
      <x:c r="B537" s="2" t="str">
        <x:v>TC-05002</x:v>
      </x:c>
      <x:c r="C537" s="12" t="n">
        <x:v>46281</x:v>
      </x:c>
      <x:c r="D537" s="2" t="n">
        <x:v>1</x:v>
      </x:c>
      <x:c r="E537" s="2" t="str">
        <x:v>Trade</x:v>
      </x:c>
      <x:c r="F537" s="14" t="n">
        <x:v>1690</x:v>
      </x:c>
      <x:c r="G537" s="2" t="str">
        <x:v>Simulated</x:v>
      </x:c>
    </x:row>
    <x:row r="538" ht="22" customHeight="1">
      <x:c r="A538" s="2" t="str">
        <x:v>BK-TC-05002-012</x:v>
      </x:c>
      <x:c r="B538" s="2" t="str">
        <x:v>TC-05002</x:v>
      </x:c>
      <x:c r="C538" s="12" t="n">
        <x:v>46253</x:v>
      </x:c>
      <x:c r="D538" s="2" t="n">
        <x:v>1</x:v>
      </x:c>
      <x:c r="E538" s="2" t="str">
        <x:v>Online</x:v>
      </x:c>
      <x:c r="F538" s="14" t="n">
        <x:v>1690</x:v>
      </x:c>
      <x:c r="G538" s="2" t="str">
        <x:v>Simulated</x:v>
      </x:c>
    </x:row>
    <x:row r="539" ht="22" customHeight="1">
      <x:c r="A539" s="2" t="str">
        <x:v>BK-TC-05002-013</x:v>
      </x:c>
      <x:c r="B539" s="2" t="str">
        <x:v>TC-05002</x:v>
      </x:c>
      <x:c r="C539" s="12" t="n">
        <x:v>46192</x:v>
      </x:c>
      <x:c r="D539" s="2" t="n">
        <x:v>1</x:v>
      </x:c>
      <x:c r="E539" s="2" t="str">
        <x:v>Retail</x:v>
      </x:c>
      <x:c r="F539" s="14" t="n">
        <x:v>1690</x:v>
      </x:c>
      <x:c r="G539" s="2" t="str">
        <x:v>Simulated</x:v>
      </x:c>
    </x:row>
    <x:row r="540" ht="22" customHeight="1">
      <x:c r="A540" s="2" t="str">
        <x:v>BK-TC-05002-014</x:v>
      </x:c>
      <x:c r="B540" s="2" t="str">
        <x:v>TC-05002</x:v>
      </x:c>
      <x:c r="C540" s="12" t="n">
        <x:v>46217</x:v>
      </x:c>
      <x:c r="D540" s="2" t="n">
        <x:v>1</x:v>
      </x:c>
      <x:c r="E540" s="2" t="str">
        <x:v>Retail</x:v>
      </x:c>
      <x:c r="F540" s="14" t="n">
        <x:v>1690</x:v>
      </x:c>
      <x:c r="G540" s="2" t="str">
        <x:v>Simulated</x:v>
      </x:c>
    </x:row>
    <x:row r="541" ht="22" customHeight="1">
      <x:c r="A541" s="2" t="str">
        <x:v>BK-TC-05002-015</x:v>
      </x:c>
      <x:c r="B541" s="2" t="str">
        <x:v>TC-05002</x:v>
      </x:c>
      <x:c r="C541" s="12" t="n">
        <x:v>46159</x:v>
      </x:c>
      <x:c r="D541" s="2" t="n">
        <x:v>1</x:v>
      </x:c>
      <x:c r="E541" s="2" t="str">
        <x:v>Retail</x:v>
      </x:c>
      <x:c r="F541" s="14" t="n">
        <x:v>1690</x:v>
      </x:c>
      <x:c r="G541" s="2" t="str">
        <x:v>Simulated</x:v>
      </x:c>
    </x:row>
    <x:row r="542" ht="22" customHeight="1">
      <x:c r="A542" s="2" t="str">
        <x:v>BK-TC-05002-016</x:v>
      </x:c>
      <x:c r="B542" s="2" t="str">
        <x:v>TC-05002</x:v>
      </x:c>
      <x:c r="C542" s="12" t="n">
        <x:v>46263</x:v>
      </x:c>
      <x:c r="D542" s="2" t="n">
        <x:v>1</x:v>
      </x:c>
      <x:c r="E542" s="2" t="str">
        <x:v>Trade</x:v>
      </x:c>
      <x:c r="F542" s="14" t="n">
        <x:v>1690</x:v>
      </x:c>
      <x:c r="G542" s="2" t="str">
        <x:v>Simulated</x:v>
      </x:c>
    </x:row>
    <x:row r="543" ht="22" customHeight="1">
      <x:c r="A543" s="2" t="str">
        <x:v>BK-TC-05002-017</x:v>
      </x:c>
      <x:c r="B543" s="2" t="str">
        <x:v>TC-05002</x:v>
      </x:c>
      <x:c r="C543" s="12" t="n">
        <x:v>46203</x:v>
      </x:c>
      <x:c r="D543" s="2" t="n">
        <x:v>1</x:v>
      </x:c>
      <x:c r="E543" s="2" t="str">
        <x:v>Online</x:v>
      </x:c>
      <x:c r="F543" s="14" t="n">
        <x:v>1690</x:v>
      </x:c>
      <x:c r="G543" s="2" t="str">
        <x:v>Simulated</x:v>
      </x:c>
    </x:row>
    <x:row r="544" ht="22" customHeight="1">
      <x:c r="A544" s="2" t="str">
        <x:v>BK-TC-05002-018</x:v>
      </x:c>
      <x:c r="B544" s="2" t="str">
        <x:v>TC-05002</x:v>
      </x:c>
      <x:c r="C544" s="12" t="n">
        <x:v>46218</x:v>
      </x:c>
      <x:c r="D544" s="2" t="n">
        <x:v>1</x:v>
      </x:c>
      <x:c r="E544" s="2" t="str">
        <x:v>Trade</x:v>
      </x:c>
      <x:c r="F544" s="14" t="n">
        <x:v>1690</x:v>
      </x:c>
      <x:c r="G544" s="2" t="str">
        <x:v>Simulated</x:v>
      </x:c>
    </x:row>
    <x:row r="545" ht="22" customHeight="1">
      <x:c r="A545" s="2" t="str">
        <x:v>BK-TC-05002-019</x:v>
      </x:c>
      <x:c r="B545" s="2" t="str">
        <x:v>TC-05002</x:v>
      </x:c>
      <x:c r="C545" s="12" t="n">
        <x:v>46222</x:v>
      </x:c>
      <x:c r="D545" s="2" t="n">
        <x:v>1</x:v>
      </x:c>
      <x:c r="E545" s="2" t="str">
        <x:v>Online</x:v>
      </x:c>
      <x:c r="F545" s="14" t="n">
        <x:v>1690</x:v>
      </x:c>
      <x:c r="G545" s="2" t="str">
        <x:v>Simulated</x:v>
      </x:c>
    </x:row>
    <x:row r="546" ht="22" customHeight="1">
      <x:c r="A546" s="2" t="str">
        <x:v>BK-TC-05002-020</x:v>
      </x:c>
      <x:c r="B546" s="2" t="str">
        <x:v>TC-05002</x:v>
      </x:c>
      <x:c r="C546" s="12" t="n">
        <x:v>46264</x:v>
      </x:c>
      <x:c r="D546" s="2" t="n">
        <x:v>1</x:v>
      </x:c>
      <x:c r="E546" s="2" t="str">
        <x:v>Retail</x:v>
      </x:c>
      <x:c r="F546" s="14" t="n">
        <x:v>1690</x:v>
      </x:c>
      <x:c r="G546" s="2" t="str">
        <x:v>Simulated</x:v>
      </x:c>
    </x:row>
    <x:row r="547" ht="22" customHeight="1">
      <x:c r="A547" s="2" t="str">
        <x:v>BK-TC-05002-021</x:v>
      </x:c>
      <x:c r="B547" s="2" t="str">
        <x:v>TC-05002</x:v>
      </x:c>
      <x:c r="C547" s="12" t="n">
        <x:v>46188</x:v>
      </x:c>
      <x:c r="D547" s="2" t="n">
        <x:v>1</x:v>
      </x:c>
      <x:c r="E547" s="2" t="str">
        <x:v>Trade</x:v>
      </x:c>
      <x:c r="F547" s="14" t="n">
        <x:v>1690</x:v>
      </x:c>
      <x:c r="G547" s="2" t="str">
        <x:v>Simulated</x:v>
      </x:c>
    </x:row>
    <x:row r="548" ht="22" customHeight="1">
      <x:c r="A548" s="2" t="str">
        <x:v>BK-TC-05002-022</x:v>
      </x:c>
      <x:c r="B548" s="2" t="str">
        <x:v>TC-05002</x:v>
      </x:c>
      <x:c r="C548" s="12" t="n">
        <x:v>46224</x:v>
      </x:c>
      <x:c r="D548" s="2" t="n">
        <x:v>1</x:v>
      </x:c>
      <x:c r="E548" s="2" t="str">
        <x:v>Trade</x:v>
      </x:c>
      <x:c r="F548" s="14" t="n">
        <x:v>1690</x:v>
      </x:c>
      <x:c r="G548" s="2" t="str">
        <x:v>Simulated</x:v>
      </x:c>
    </x:row>
    <x:row r="549" ht="22" customHeight="1">
      <x:c r="A549" s="2" t="str">
        <x:v>BK-TC-05002-023</x:v>
      </x:c>
      <x:c r="B549" s="2" t="str">
        <x:v>TC-05002</x:v>
      </x:c>
      <x:c r="C549" s="12" t="n">
        <x:v>46298</x:v>
      </x:c>
      <x:c r="D549" s="2" t="n">
        <x:v>1</x:v>
      </x:c>
      <x:c r="E549" s="2" t="str">
        <x:v>Online</x:v>
      </x:c>
      <x:c r="F549" s="14" t="n">
        <x:v>1690</x:v>
      </x:c>
      <x:c r="G549" s="2" t="str">
        <x:v>Simulated</x:v>
      </x:c>
    </x:row>
    <x:row r="550" ht="22" customHeight="1">
      <x:c r="A550" s="2" t="str">
        <x:v>BK-TC-05002-024</x:v>
      </x:c>
      <x:c r="B550" s="2" t="str">
        <x:v>TC-05002</x:v>
      </x:c>
      <x:c r="C550" s="12" t="n">
        <x:v>46267</x:v>
      </x:c>
      <x:c r="D550" s="2" t="n">
        <x:v>1</x:v>
      </x:c>
      <x:c r="E550" s="2" t="str">
        <x:v>Retail</x:v>
      </x:c>
      <x:c r="F550" s="14" t="n">
        <x:v>1690</x:v>
      </x:c>
      <x:c r="G550" s="2" t="str">
        <x:v>Simulated</x:v>
      </x:c>
    </x:row>
    <x:row r="551" ht="22" customHeight="1">
      <x:c r="A551" s="2" t="str">
        <x:v>BK-TC-05003-001</x:v>
      </x:c>
      <x:c r="B551" s="2" t="str">
        <x:v>TC-05003</x:v>
      </x:c>
      <x:c r="C551" s="12" t="n">
        <x:v>46278</x:v>
      </x:c>
      <x:c r="D551" s="2" t="n">
        <x:v>1</x:v>
      </x:c>
      <x:c r="E551" s="2" t="str">
        <x:v>Trade</x:v>
      </x:c>
      <x:c r="F551" s="14" t="n">
        <x:v>1690</x:v>
      </x:c>
      <x:c r="G551" s="2" t="str">
        <x:v>Simulated</x:v>
      </x:c>
    </x:row>
    <x:row r="552" ht="22" customHeight="1">
      <x:c r="A552" s="2" t="str">
        <x:v>BK-TC-05003-002</x:v>
      </x:c>
      <x:c r="B552" s="2" t="str">
        <x:v>TC-05003</x:v>
      </x:c>
      <x:c r="C552" s="12" t="n">
        <x:v>46282</x:v>
      </x:c>
      <x:c r="D552" s="2" t="n">
        <x:v>1</x:v>
      </x:c>
      <x:c r="E552" s="2" t="str">
        <x:v>Online</x:v>
      </x:c>
      <x:c r="F552" s="14" t="n">
        <x:v>1690</x:v>
      </x:c>
      <x:c r="G552" s="2" t="str">
        <x:v>Simulated</x:v>
      </x:c>
    </x:row>
    <x:row r="553" ht="22" customHeight="1">
      <x:c r="A553" s="2" t="str">
        <x:v>BK-TC-05003-003</x:v>
      </x:c>
      <x:c r="B553" s="2" t="str">
        <x:v>TC-05003</x:v>
      </x:c>
      <x:c r="C553" s="12" t="n">
        <x:v>46176</x:v>
      </x:c>
      <x:c r="D553" s="2" t="n">
        <x:v>1</x:v>
      </x:c>
      <x:c r="E553" s="2" t="str">
        <x:v>Retail</x:v>
      </x:c>
      <x:c r="F553" s="14" t="n">
        <x:v>1690</x:v>
      </x:c>
      <x:c r="G553" s="2" t="str">
        <x:v>Simulated</x:v>
      </x:c>
    </x:row>
    <x:row r="554" ht="22" customHeight="1">
      <x:c r="A554" s="2" t="str">
        <x:v>BK-TC-05003-004</x:v>
      </x:c>
      <x:c r="B554" s="2" t="str">
        <x:v>TC-05003</x:v>
      </x:c>
      <x:c r="C554" s="12" t="n">
        <x:v>46157</x:v>
      </x:c>
      <x:c r="D554" s="2" t="n">
        <x:v>1</x:v>
      </x:c>
      <x:c r="E554" s="2" t="str">
        <x:v>Trade</x:v>
      </x:c>
      <x:c r="F554" s="14" t="n">
        <x:v>1690</x:v>
      </x:c>
      <x:c r="G554" s="2" t="str">
        <x:v>Simulated</x:v>
      </x:c>
    </x:row>
    <x:row r="555" ht="22" customHeight="1">
      <x:c r="A555" s="2" t="str">
        <x:v>BK-TC-05003-005</x:v>
      </x:c>
      <x:c r="B555" s="2" t="str">
        <x:v>TC-05003</x:v>
      </x:c>
      <x:c r="C555" s="12" t="n">
        <x:v>46169</x:v>
      </x:c>
      <x:c r="D555" s="2" t="n">
        <x:v>1</x:v>
      </x:c>
      <x:c r="E555" s="2" t="str">
        <x:v>Retail</x:v>
      </x:c>
      <x:c r="F555" s="14" t="n">
        <x:v>1690</x:v>
      </x:c>
      <x:c r="G555" s="2" t="str">
        <x:v>Simulated</x:v>
      </x:c>
    </x:row>
    <x:row r="556" ht="22" customHeight="1">
      <x:c r="A556" s="2" t="str">
        <x:v>BK-TC-05003-006</x:v>
      </x:c>
      <x:c r="B556" s="2" t="str">
        <x:v>TC-05003</x:v>
      </x:c>
      <x:c r="C556" s="12" t="n">
        <x:v>46213</x:v>
      </x:c>
      <x:c r="D556" s="2" t="n">
        <x:v>1</x:v>
      </x:c>
      <x:c r="E556" s="2" t="str">
        <x:v>Trade</x:v>
      </x:c>
      <x:c r="F556" s="14" t="n">
        <x:v>1690</x:v>
      </x:c>
      <x:c r="G556" s="2" t="str">
        <x:v>Simulated</x:v>
      </x:c>
    </x:row>
    <x:row r="557" ht="22" customHeight="1">
      <x:c r="A557" s="2" t="str">
        <x:v>BK-TC-05003-007</x:v>
      </x:c>
      <x:c r="B557" s="2" t="str">
        <x:v>TC-05003</x:v>
      </x:c>
      <x:c r="C557" s="12" t="n">
        <x:v>46253</x:v>
      </x:c>
      <x:c r="D557" s="2" t="n">
        <x:v>1</x:v>
      </x:c>
      <x:c r="E557" s="2" t="str">
        <x:v>Retail</x:v>
      </x:c>
      <x:c r="F557" s="14" t="n">
        <x:v>1690</x:v>
      </x:c>
      <x:c r="G557" s="2" t="str">
        <x:v>Simulated</x:v>
      </x:c>
    </x:row>
    <x:row r="558" ht="22" customHeight="1">
      <x:c r="A558" s="2" t="str">
        <x:v>BK-TC-05003-008</x:v>
      </x:c>
      <x:c r="B558" s="2" t="str">
        <x:v>TC-05003</x:v>
      </x:c>
      <x:c r="C558" s="12" t="n">
        <x:v>46219</x:v>
      </x:c>
      <x:c r="D558" s="2" t="n">
        <x:v>1</x:v>
      </x:c>
      <x:c r="E558" s="2" t="str">
        <x:v>Online</x:v>
      </x:c>
      <x:c r="F558" s="14" t="n">
        <x:v>1690</x:v>
      </x:c>
      <x:c r="G558" s="2" t="str">
        <x:v>Simulated</x:v>
      </x:c>
    </x:row>
    <x:row r="559" ht="22" customHeight="1">
      <x:c r="A559" s="2" t="str">
        <x:v>BK-TC-05003-009</x:v>
      </x:c>
      <x:c r="B559" s="2" t="str">
        <x:v>TC-05003</x:v>
      </x:c>
      <x:c r="C559" s="12" t="n">
        <x:v>46222</x:v>
      </x:c>
      <x:c r="D559" s="2" t="n">
        <x:v>1</x:v>
      </x:c>
      <x:c r="E559" s="2" t="str">
        <x:v>Retail</x:v>
      </x:c>
      <x:c r="F559" s="14" t="n">
        <x:v>1690</x:v>
      </x:c>
      <x:c r="G559" s="2" t="str">
        <x:v>Simulated</x:v>
      </x:c>
    </x:row>
    <x:row r="560" ht="22" customHeight="1">
      <x:c r="A560" s="2" t="str">
        <x:v>BK-TC-05003-010</x:v>
      </x:c>
      <x:c r="B560" s="2" t="str">
        <x:v>TC-05003</x:v>
      </x:c>
      <x:c r="C560" s="12" t="n">
        <x:v>46192</x:v>
      </x:c>
      <x:c r="D560" s="2" t="n">
        <x:v>1</x:v>
      </x:c>
      <x:c r="E560" s="2" t="str">
        <x:v>Trade</x:v>
      </x:c>
      <x:c r="F560" s="14" t="n">
        <x:v>1690</x:v>
      </x:c>
      <x:c r="G560" s="2" t="str">
        <x:v>Simulated</x:v>
      </x:c>
    </x:row>
    <x:row r="561" ht="22" customHeight="1">
      <x:c r="A561" s="2" t="str">
        <x:v>BK-TC-05003-011</x:v>
      </x:c>
      <x:c r="B561" s="2" t="str">
        <x:v>TC-05003</x:v>
      </x:c>
      <x:c r="C561" s="12" t="n">
        <x:v>46237</x:v>
      </x:c>
      <x:c r="D561" s="2" t="n">
        <x:v>1</x:v>
      </x:c>
      <x:c r="E561" s="2" t="str">
        <x:v>Retail</x:v>
      </x:c>
      <x:c r="F561" s="14" t="n">
        <x:v>1690</x:v>
      </x:c>
      <x:c r="G561" s="2" t="str">
        <x:v>Simulated</x:v>
      </x:c>
    </x:row>
    <x:row r="562" ht="22" customHeight="1">
      <x:c r="A562" s="2" t="str">
        <x:v>BK-TC-05003-012</x:v>
      </x:c>
      <x:c r="B562" s="2" t="str">
        <x:v>TC-05003</x:v>
      </x:c>
      <x:c r="C562" s="12" t="n">
        <x:v>46287</x:v>
      </x:c>
      <x:c r="D562" s="2" t="n">
        <x:v>1</x:v>
      </x:c>
      <x:c r="E562" s="2" t="str">
        <x:v>Online</x:v>
      </x:c>
      <x:c r="F562" s="14" t="n">
        <x:v>1690</x:v>
      </x:c>
      <x:c r="G562" s="2" t="str">
        <x:v>Simulated</x:v>
      </x:c>
    </x:row>
    <x:row r="563" ht="22" customHeight="1">
      <x:c r="A563" s="2" t="str">
        <x:v>BK-TC-05003-013</x:v>
      </x:c>
      <x:c r="B563" s="2" t="str">
        <x:v>TC-05003</x:v>
      </x:c>
      <x:c r="C563" s="12" t="n">
        <x:v>46173</x:v>
      </x:c>
      <x:c r="D563" s="2" t="n">
        <x:v>1</x:v>
      </x:c>
      <x:c r="E563" s="2" t="str">
        <x:v>Online</x:v>
      </x:c>
      <x:c r="F563" s="14" t="n">
        <x:v>1690</x:v>
      </x:c>
      <x:c r="G563" s="2" t="str">
        <x:v>Simulated</x:v>
      </x:c>
    </x:row>
    <x:row r="564" ht="22" customHeight="1">
      <x:c r="A564" s="2" t="str">
        <x:v>BK-TC-05003-014</x:v>
      </x:c>
      <x:c r="B564" s="2" t="str">
        <x:v>TC-05003</x:v>
      </x:c>
      <x:c r="C564" s="12" t="n">
        <x:v>46156</x:v>
      </x:c>
      <x:c r="D564" s="2" t="n">
        <x:v>1</x:v>
      </x:c>
      <x:c r="E564" s="2" t="str">
        <x:v>Retail</x:v>
      </x:c>
      <x:c r="F564" s="14" t="n">
        <x:v>1690</x:v>
      </x:c>
      <x:c r="G564" s="2" t="str">
        <x:v>Simulated</x:v>
      </x:c>
    </x:row>
    <x:row r="565" ht="22" customHeight="1">
      <x:c r="A565" s="2" t="str">
        <x:v>BK-TC-05003-015</x:v>
      </x:c>
      <x:c r="B565" s="2" t="str">
        <x:v>TC-05003</x:v>
      </x:c>
      <x:c r="C565" s="12" t="n">
        <x:v>46257</x:v>
      </x:c>
      <x:c r="D565" s="2" t="n">
        <x:v>1</x:v>
      </x:c>
      <x:c r="E565" s="2" t="str">
        <x:v>Retail</x:v>
      </x:c>
      <x:c r="F565" s="14" t="n">
        <x:v>1690</x:v>
      </x:c>
      <x:c r="G565" s="2" t="str">
        <x:v>Simulated</x:v>
      </x:c>
    </x:row>
    <x:row r="566" ht="22" customHeight="1">
      <x:c r="A566" s="2" t="str">
        <x:v>BK-TC-05003-016</x:v>
      </x:c>
      <x:c r="B566" s="2" t="str">
        <x:v>TC-05003</x:v>
      </x:c>
      <x:c r="C566" s="12" t="n">
        <x:v>46181</x:v>
      </x:c>
      <x:c r="D566" s="2" t="n">
        <x:v>1</x:v>
      </x:c>
      <x:c r="E566" s="2" t="str">
        <x:v>Retail</x:v>
      </x:c>
      <x:c r="F566" s="14" t="n">
        <x:v>1690</x:v>
      </x:c>
      <x:c r="G566" s="2" t="str">
        <x:v>Simulated</x:v>
      </x:c>
    </x:row>
    <x:row r="567" ht="22" customHeight="1">
      <x:c r="A567" s="2" t="str">
        <x:v>BK-TC-05003-017</x:v>
      </x:c>
      <x:c r="B567" s="2" t="str">
        <x:v>TC-05003</x:v>
      </x:c>
      <x:c r="C567" s="12" t="n">
        <x:v>46202</x:v>
      </x:c>
      <x:c r="D567" s="2" t="n">
        <x:v>1</x:v>
      </x:c>
      <x:c r="E567" s="2" t="str">
        <x:v>Retail</x:v>
      </x:c>
      <x:c r="F567" s="14" t="n">
        <x:v>1690</x:v>
      </x:c>
      <x:c r="G567" s="2" t="str">
        <x:v>Simulated</x:v>
      </x:c>
    </x:row>
    <x:row r="568" ht="22" customHeight="1">
      <x:c r="A568" s="2" t="str">
        <x:v>BK-TC-05003-018</x:v>
      </x:c>
      <x:c r="B568" s="2" t="str">
        <x:v>TC-05003</x:v>
      </x:c>
      <x:c r="C568" s="12" t="n">
        <x:v>46289</x:v>
      </x:c>
      <x:c r="D568" s="2" t="n">
        <x:v>1</x:v>
      </x:c>
      <x:c r="E568" s="2" t="str">
        <x:v>Trade</x:v>
      </x:c>
      <x:c r="F568" s="14" t="n">
        <x:v>1690</x:v>
      </x:c>
      <x:c r="G568" s="2" t="str">
        <x:v>Simulated</x:v>
      </x:c>
    </x:row>
    <x:row r="569" ht="22" customHeight="1">
      <x:c r="A569" s="2" t="str">
        <x:v>BK-TC-05003-019</x:v>
      </x:c>
      <x:c r="B569" s="2" t="str">
        <x:v>TC-05003</x:v>
      </x:c>
      <x:c r="C569" s="12" t="n">
        <x:v>46264</x:v>
      </x:c>
      <x:c r="D569" s="2" t="n">
        <x:v>1</x:v>
      </x:c>
      <x:c r="E569" s="2" t="str">
        <x:v>Online</x:v>
      </x:c>
      <x:c r="F569" s="14" t="n">
        <x:v>1690</x:v>
      </x:c>
      <x:c r="G569" s="2" t="str">
        <x:v>Simulated</x:v>
      </x:c>
    </x:row>
    <x:row r="570" ht="22" customHeight="1">
      <x:c r="A570" s="2" t="str">
        <x:v>BK-TC-05003-020</x:v>
      </x:c>
      <x:c r="B570" s="2" t="str">
        <x:v>TC-05003</x:v>
      </x:c>
      <x:c r="C570" s="12" t="n">
        <x:v>46224</x:v>
      </x:c>
      <x:c r="D570" s="2" t="n">
        <x:v>1</x:v>
      </x:c>
      <x:c r="E570" s="2" t="str">
        <x:v>Trade</x:v>
      </x:c>
      <x:c r="F570" s="14" t="n">
        <x:v>1690</x:v>
      </x:c>
      <x:c r="G570" s="2" t="str">
        <x:v>Simulated</x:v>
      </x:c>
    </x:row>
    <x:row r="571" ht="22" customHeight="1">
      <x:c r="A571" s="2" t="str">
        <x:v>BK-TC-05003-021</x:v>
      </x:c>
      <x:c r="B571" s="2" t="str">
        <x:v>TC-05003</x:v>
      </x:c>
      <x:c r="C571" s="12" t="n">
        <x:v>46189</x:v>
      </x:c>
      <x:c r="D571" s="2" t="n">
        <x:v>1</x:v>
      </x:c>
      <x:c r="E571" s="2" t="str">
        <x:v>Online</x:v>
      </x:c>
      <x:c r="F571" s="14" t="n">
        <x:v>1690</x:v>
      </x:c>
      <x:c r="G571" s="2" t="str">
        <x:v>Simulated</x:v>
      </x:c>
    </x:row>
    <x:row r="572" ht="22" customHeight="1">
      <x:c r="A572" s="2" t="str">
        <x:v>BK-TC-05003-022</x:v>
      </x:c>
      <x:c r="B572" s="2" t="str">
        <x:v>TC-05003</x:v>
      </x:c>
      <x:c r="C572" s="12" t="n">
        <x:v>46216</x:v>
      </x:c>
      <x:c r="D572" s="2" t="n">
        <x:v>1</x:v>
      </x:c>
      <x:c r="E572" s="2" t="str">
        <x:v>Trade</x:v>
      </x:c>
      <x:c r="F572" s="14" t="n">
        <x:v>1690</x:v>
      </x:c>
      <x:c r="G572" s="2" t="str">
        <x:v>Simulated</x:v>
      </x:c>
    </x:row>
    <x:row r="573" ht="22" customHeight="1">
      <x:c r="A573" s="2" t="str">
        <x:v>BK-TC-05003-023</x:v>
      </x:c>
      <x:c r="B573" s="2" t="str">
        <x:v>TC-05003</x:v>
      </x:c>
      <x:c r="C573" s="12" t="n">
        <x:v>46213</x:v>
      </x:c>
      <x:c r="D573" s="2" t="n">
        <x:v>1</x:v>
      </x:c>
      <x:c r="E573" s="2" t="str">
        <x:v>Retail</x:v>
      </x:c>
      <x:c r="F573" s="14" t="n">
        <x:v>1690</x:v>
      </x:c>
      <x:c r="G573" s="2" t="str">
        <x:v>Simulated</x:v>
      </x:c>
    </x:row>
    <x:row r="574" ht="22" customHeight="1">
      <x:c r="A574" s="2" t="str">
        <x:v>BK-TC-05004-001</x:v>
      </x:c>
      <x:c r="B574" s="2" t="str">
        <x:v>TC-05004</x:v>
      </x:c>
      <x:c r="C574" s="12" t="n">
        <x:v>46250</x:v>
      </x:c>
      <x:c r="D574" s="2" t="n">
        <x:v>1</x:v>
      </x:c>
      <x:c r="E574" s="2" t="str">
        <x:v>Trade</x:v>
      </x:c>
      <x:c r="F574" s="14" t="n">
        <x:v>1690</x:v>
      </x:c>
      <x:c r="G574" s="2" t="str">
        <x:v>Simulated</x:v>
      </x:c>
    </x:row>
    <x:row r="575" ht="22" customHeight="1">
      <x:c r="A575" s="2" t="str">
        <x:v>BK-TC-05004-002</x:v>
      </x:c>
      <x:c r="B575" s="2" t="str">
        <x:v>TC-05004</x:v>
      </x:c>
      <x:c r="C575" s="12" t="n">
        <x:v>46294</x:v>
      </x:c>
      <x:c r="D575" s="2" t="n">
        <x:v>1</x:v>
      </x:c>
      <x:c r="E575" s="2" t="str">
        <x:v>Trade</x:v>
      </x:c>
      <x:c r="F575" s="14" t="n">
        <x:v>1690</x:v>
      </x:c>
      <x:c r="G575" s="2" t="str">
        <x:v>Simulated</x:v>
      </x:c>
    </x:row>
    <x:row r="576" ht="22" customHeight="1">
      <x:c r="A576" s="2" t="str">
        <x:v>BK-TC-05004-003</x:v>
      </x:c>
      <x:c r="B576" s="2" t="str">
        <x:v>TC-05004</x:v>
      </x:c>
      <x:c r="C576" s="12" t="n">
        <x:v>46174</x:v>
      </x:c>
      <x:c r="D576" s="2" t="n">
        <x:v>1</x:v>
      </x:c>
      <x:c r="E576" s="2" t="str">
        <x:v>Trade</x:v>
      </x:c>
      <x:c r="F576" s="14" t="n">
        <x:v>1690</x:v>
      </x:c>
      <x:c r="G576" s="2" t="str">
        <x:v>Simulated</x:v>
      </x:c>
    </x:row>
    <x:row r="577" ht="22" customHeight="1">
      <x:c r="A577" s="2" t="str">
        <x:v>BK-TC-05004-004</x:v>
      </x:c>
      <x:c r="B577" s="2" t="str">
        <x:v>TC-05004</x:v>
      </x:c>
      <x:c r="C577" s="12" t="n">
        <x:v>46183</x:v>
      </x:c>
      <x:c r="D577" s="2" t="n">
        <x:v>1</x:v>
      </x:c>
      <x:c r="E577" s="2" t="str">
        <x:v>Online</x:v>
      </x:c>
      <x:c r="F577" s="14" t="n">
        <x:v>1690</x:v>
      </x:c>
      <x:c r="G577" s="2" t="str">
        <x:v>Simulated</x:v>
      </x:c>
    </x:row>
    <x:row r="578" ht="22" customHeight="1">
      <x:c r="A578" s="2" t="str">
        <x:v>BK-TC-05004-005</x:v>
      </x:c>
      <x:c r="B578" s="2" t="str">
        <x:v>TC-05004</x:v>
      </x:c>
      <x:c r="C578" s="12" t="n">
        <x:v>46264</x:v>
      </x:c>
      <x:c r="D578" s="2" t="n">
        <x:v>1</x:v>
      </x:c>
      <x:c r="E578" s="2" t="str">
        <x:v>Online</x:v>
      </x:c>
      <x:c r="F578" s="14" t="n">
        <x:v>1690</x:v>
      </x:c>
      <x:c r="G578" s="2" t="str">
        <x:v>Simulated</x:v>
      </x:c>
    </x:row>
    <x:row r="579" ht="22" customHeight="1">
      <x:c r="A579" s="2" t="str">
        <x:v>BK-TC-05004-006</x:v>
      </x:c>
      <x:c r="B579" s="2" t="str">
        <x:v>TC-05004</x:v>
      </x:c>
      <x:c r="C579" s="12" t="n">
        <x:v>46227</x:v>
      </x:c>
      <x:c r="D579" s="2" t="n">
        <x:v>1</x:v>
      </x:c>
      <x:c r="E579" s="2" t="str">
        <x:v>Online</x:v>
      </x:c>
      <x:c r="F579" s="14" t="n">
        <x:v>1690</x:v>
      </x:c>
      <x:c r="G579" s="2" t="str">
        <x:v>Simulated</x:v>
      </x:c>
    </x:row>
    <x:row r="580" ht="22" customHeight="1">
      <x:c r="A580" s="2" t="str">
        <x:v>BK-TC-05004-007</x:v>
      </x:c>
      <x:c r="B580" s="2" t="str">
        <x:v>TC-05004</x:v>
      </x:c>
      <x:c r="C580" s="12" t="n">
        <x:v>46296</x:v>
      </x:c>
      <x:c r="D580" s="2" t="n">
        <x:v>1</x:v>
      </x:c>
      <x:c r="E580" s="2" t="str">
        <x:v>Trade</x:v>
      </x:c>
      <x:c r="F580" s="14" t="n">
        <x:v>1690</x:v>
      </x:c>
      <x:c r="G580" s="2" t="str">
        <x:v>Simulated</x:v>
      </x:c>
    </x:row>
    <x:row r="581" ht="22" customHeight="1">
      <x:c r="A581" s="2" t="str">
        <x:v>BK-TC-05004-008</x:v>
      </x:c>
      <x:c r="B581" s="2" t="str">
        <x:v>TC-05004</x:v>
      </x:c>
      <x:c r="C581" s="12" t="n">
        <x:v>46298</x:v>
      </x:c>
      <x:c r="D581" s="2" t="n">
        <x:v>1</x:v>
      </x:c>
      <x:c r="E581" s="2" t="str">
        <x:v>Retail</x:v>
      </x:c>
      <x:c r="F581" s="14" t="n">
        <x:v>1690</x:v>
      </x:c>
      <x:c r="G581" s="2" t="str">
        <x:v>Simulated</x:v>
      </x:c>
    </x:row>
    <x:row r="582" ht="22" customHeight="1">
      <x:c r="A582" s="2" t="str">
        <x:v>BK-TC-05004-009</x:v>
      </x:c>
      <x:c r="B582" s="2" t="str">
        <x:v>TC-05004</x:v>
      </x:c>
      <x:c r="C582" s="12" t="n">
        <x:v>46219</x:v>
      </x:c>
      <x:c r="D582" s="2" t="n">
        <x:v>1</x:v>
      </x:c>
      <x:c r="E582" s="2" t="str">
        <x:v>Trade</x:v>
      </x:c>
      <x:c r="F582" s="14" t="n">
        <x:v>1690</x:v>
      </x:c>
      <x:c r="G582" s="2" t="str">
        <x:v>Simulated</x:v>
      </x:c>
    </x:row>
    <x:row r="583" ht="22" customHeight="1">
      <x:c r="A583" s="2" t="str">
        <x:v>BK-TC-05004-010</x:v>
      </x:c>
      <x:c r="B583" s="2" t="str">
        <x:v>TC-05004</x:v>
      </x:c>
      <x:c r="C583" s="12" t="n">
        <x:v>46171</x:v>
      </x:c>
      <x:c r="D583" s="2" t="n">
        <x:v>1</x:v>
      </x:c>
      <x:c r="E583" s="2" t="str">
        <x:v>Trade</x:v>
      </x:c>
      <x:c r="F583" s="14" t="n">
        <x:v>1690</x:v>
      </x:c>
      <x:c r="G583" s="2" t="str">
        <x:v>Simulated</x:v>
      </x:c>
    </x:row>
    <x:row r="584" ht="22" customHeight="1">
      <x:c r="A584" s="2" t="str">
        <x:v>BK-TC-05004-011</x:v>
      </x:c>
      <x:c r="B584" s="2" t="str">
        <x:v>TC-05004</x:v>
      </x:c>
      <x:c r="C584" s="12" t="n">
        <x:v>46182</x:v>
      </x:c>
      <x:c r="D584" s="2" t="n">
        <x:v>1</x:v>
      </x:c>
      <x:c r="E584" s="2" t="str">
        <x:v>Online</x:v>
      </x:c>
      <x:c r="F584" s="14" t="n">
        <x:v>1690</x:v>
      </x:c>
      <x:c r="G584" s="2" t="str">
        <x:v>Simulated</x:v>
      </x:c>
    </x:row>
    <x:row r="585" ht="22" customHeight="1">
      <x:c r="A585" s="2" t="str">
        <x:v>BK-TC-05004-012</x:v>
      </x:c>
      <x:c r="B585" s="2" t="str">
        <x:v>TC-05004</x:v>
      </x:c>
      <x:c r="C585" s="12" t="n">
        <x:v>46298</x:v>
      </x:c>
      <x:c r="D585" s="2" t="n">
        <x:v>1</x:v>
      </x:c>
      <x:c r="E585" s="2" t="str">
        <x:v>Retail</x:v>
      </x:c>
      <x:c r="F585" s="14" t="n">
        <x:v>1690</x:v>
      </x:c>
      <x:c r="G585" s="2" t="str">
        <x:v>Simulated</x:v>
      </x:c>
    </x:row>
    <x:row r="586" ht="22" customHeight="1">
      <x:c r="A586" s="2" t="str">
        <x:v>BK-TC-05004-013</x:v>
      </x:c>
      <x:c r="B586" s="2" t="str">
        <x:v>TC-05004</x:v>
      </x:c>
      <x:c r="C586" s="12" t="n">
        <x:v>46205</x:v>
      </x:c>
      <x:c r="D586" s="2" t="n">
        <x:v>1</x:v>
      </x:c>
      <x:c r="E586" s="2" t="str">
        <x:v>Trade</x:v>
      </x:c>
      <x:c r="F586" s="14" t="n">
        <x:v>1690</x:v>
      </x:c>
      <x:c r="G586" s="2" t="str">
        <x:v>Simulated</x:v>
      </x:c>
    </x:row>
    <x:row r="587" ht="22" customHeight="1">
      <x:c r="A587" s="2" t="str">
        <x:v>BK-TC-05004-014</x:v>
      </x:c>
      <x:c r="B587" s="2" t="str">
        <x:v>TC-05004</x:v>
      </x:c>
      <x:c r="C587" s="12" t="n">
        <x:v>46233</x:v>
      </x:c>
      <x:c r="D587" s="2" t="n">
        <x:v>1</x:v>
      </x:c>
      <x:c r="E587" s="2" t="str">
        <x:v>Online</x:v>
      </x:c>
      <x:c r="F587" s="14" t="n">
        <x:v>1690</x:v>
      </x:c>
      <x:c r="G587" s="2" t="str">
        <x:v>Simulated</x:v>
      </x:c>
    </x:row>
    <x:row r="588" ht="22" customHeight="1">
      <x:c r="A588" s="2" t="str">
        <x:v>BK-TC-05004-015</x:v>
      </x:c>
      <x:c r="B588" s="2" t="str">
        <x:v>TC-05004</x:v>
      </x:c>
      <x:c r="C588" s="12" t="n">
        <x:v>46179</x:v>
      </x:c>
      <x:c r="D588" s="2" t="n">
        <x:v>1</x:v>
      </x:c>
      <x:c r="E588" s="2" t="str">
        <x:v>Trade</x:v>
      </x:c>
      <x:c r="F588" s="14" t="n">
        <x:v>1690</x:v>
      </x:c>
      <x:c r="G588" s="2" t="str">
        <x:v>Simulated</x:v>
      </x:c>
    </x:row>
    <x:row r="589" ht="22" customHeight="1">
      <x:c r="A589" s="2" t="str">
        <x:v>BK-TC-05004-016</x:v>
      </x:c>
      <x:c r="B589" s="2" t="str">
        <x:v>TC-05004</x:v>
      </x:c>
      <x:c r="C589" s="12" t="n">
        <x:v>46266</x:v>
      </x:c>
      <x:c r="D589" s="2" t="n">
        <x:v>1</x:v>
      </x:c>
      <x:c r="E589" s="2" t="str">
        <x:v>Online</x:v>
      </x:c>
      <x:c r="F589" s="14" t="n">
        <x:v>1690</x:v>
      </x:c>
      <x:c r="G589" s="2" t="str">
        <x:v>Simulated</x:v>
      </x:c>
    </x:row>
    <x:row r="590" ht="22" customHeight="1">
      <x:c r="A590" s="2" t="str">
        <x:v>BK-TC-05004-017</x:v>
      </x:c>
      <x:c r="B590" s="2" t="str">
        <x:v>TC-05004</x:v>
      </x:c>
      <x:c r="C590" s="12" t="n">
        <x:v>46216</x:v>
      </x:c>
      <x:c r="D590" s="2" t="n">
        <x:v>1</x:v>
      </x:c>
      <x:c r="E590" s="2" t="str">
        <x:v>Trade</x:v>
      </x:c>
      <x:c r="F590" s="14" t="n">
        <x:v>1690</x:v>
      </x:c>
      <x:c r="G590" s="2" t="str">
        <x:v>Simulated</x:v>
      </x:c>
    </x:row>
    <x:row r="591" ht="22" customHeight="1">
      <x:c r="A591" s="2" t="str">
        <x:v>BK-TC-05004-018</x:v>
      </x:c>
      <x:c r="B591" s="2" t="str">
        <x:v>TC-05004</x:v>
      </x:c>
      <x:c r="C591" s="12" t="n">
        <x:v>46275</x:v>
      </x:c>
      <x:c r="D591" s="2" t="n">
        <x:v>1</x:v>
      </x:c>
      <x:c r="E591" s="2" t="str">
        <x:v>Retail</x:v>
      </x:c>
      <x:c r="F591" s="14" t="n">
        <x:v>1690</x:v>
      </x:c>
      <x:c r="G591" s="2" t="str">
        <x:v>Simulated</x:v>
      </x:c>
    </x:row>
    <x:row r="592" ht="22" customHeight="1">
      <x:c r="A592" s="2" t="str">
        <x:v>BK-TC-05004-019</x:v>
      </x:c>
      <x:c r="B592" s="2" t="str">
        <x:v>TC-05004</x:v>
      </x:c>
      <x:c r="C592" s="12" t="n">
        <x:v>46191</x:v>
      </x:c>
      <x:c r="D592" s="2" t="n">
        <x:v>1</x:v>
      </x:c>
      <x:c r="E592" s="2" t="str">
        <x:v>Trade</x:v>
      </x:c>
      <x:c r="F592" s="14" t="n">
        <x:v>1690</x:v>
      </x:c>
      <x:c r="G592" s="2" t="str">
        <x:v>Simulated</x:v>
      </x:c>
    </x:row>
    <x:row r="593" ht="22" customHeight="1">
      <x:c r="A593" s="2" t="str">
        <x:v>BK-TC-05004-020</x:v>
      </x:c>
      <x:c r="B593" s="2" t="str">
        <x:v>TC-05004</x:v>
      </x:c>
      <x:c r="C593" s="12" t="n">
        <x:v>46177</x:v>
      </x:c>
      <x:c r="D593" s="2" t="n">
        <x:v>1</x:v>
      </x:c>
      <x:c r="E593" s="2" t="str">
        <x:v>Retail</x:v>
      </x:c>
      <x:c r="F593" s="14" t="n">
        <x:v>1690</x:v>
      </x:c>
      <x:c r="G593" s="2" t="str">
        <x:v>Simulated</x:v>
      </x:c>
    </x:row>
    <x:row r="594" ht="22" customHeight="1">
      <x:c r="A594" s="2" t="str">
        <x:v>BK-TC-05004-021</x:v>
      </x:c>
      <x:c r="B594" s="2" t="str">
        <x:v>TC-05004</x:v>
      </x:c>
      <x:c r="C594" s="12" t="n">
        <x:v>46212</x:v>
      </x:c>
      <x:c r="D594" s="2" t="n">
        <x:v>1</x:v>
      </x:c>
      <x:c r="E594" s="2" t="str">
        <x:v>Retail</x:v>
      </x:c>
      <x:c r="F594" s="14" t="n">
        <x:v>1690</x:v>
      </x:c>
      <x:c r="G594" s="2" t="str">
        <x:v>Simulated</x:v>
      </x:c>
    </x:row>
    <x:row r="595" ht="22" customHeight="1">
      <x:c r="A595" s="2" t="str">
        <x:v>BK-TC-05005-001</x:v>
      </x:c>
      <x:c r="B595" s="2" t="str">
        <x:v>TC-05005</x:v>
      </x:c>
      <x:c r="C595" s="12" t="n">
        <x:v>46195</x:v>
      </x:c>
      <x:c r="D595" s="2" t="n">
        <x:v>1</x:v>
      </x:c>
      <x:c r="E595" s="2" t="str">
        <x:v>Trade</x:v>
      </x:c>
      <x:c r="F595" s="14" t="n">
        <x:v>1690</x:v>
      </x:c>
      <x:c r="G595" s="2" t="str">
        <x:v>Simulated</x:v>
      </x:c>
    </x:row>
    <x:row r="596" ht="22" customHeight="1">
      <x:c r="A596" s="2" t="str">
        <x:v>BK-TC-05005-002</x:v>
      </x:c>
      <x:c r="B596" s="2" t="str">
        <x:v>TC-05005</x:v>
      </x:c>
      <x:c r="C596" s="12" t="n">
        <x:v>46285</x:v>
      </x:c>
      <x:c r="D596" s="2" t="n">
        <x:v>1</x:v>
      </x:c>
      <x:c r="E596" s="2" t="str">
        <x:v>Retail</x:v>
      </x:c>
      <x:c r="F596" s="14" t="n">
        <x:v>1690</x:v>
      </x:c>
      <x:c r="G596" s="2" t="str">
        <x:v>Simulated</x:v>
      </x:c>
    </x:row>
    <x:row r="597" ht="22" customHeight="1">
      <x:c r="A597" s="2" t="str">
        <x:v>BK-TC-05005-003</x:v>
      </x:c>
      <x:c r="B597" s="2" t="str">
        <x:v>TC-05005</x:v>
      </x:c>
      <x:c r="C597" s="12" t="n">
        <x:v>46252</x:v>
      </x:c>
      <x:c r="D597" s="2" t="n">
        <x:v>1</x:v>
      </x:c>
      <x:c r="E597" s="2" t="str">
        <x:v>Retail</x:v>
      </x:c>
      <x:c r="F597" s="14" t="n">
        <x:v>1690</x:v>
      </x:c>
      <x:c r="G597" s="2" t="str">
        <x:v>Simulated</x:v>
      </x:c>
    </x:row>
    <x:row r="598" ht="22" customHeight="1">
      <x:c r="A598" s="2" t="str">
        <x:v>BK-TC-05005-004</x:v>
      </x:c>
      <x:c r="B598" s="2" t="str">
        <x:v>TC-05005</x:v>
      </x:c>
      <x:c r="C598" s="12" t="n">
        <x:v>46294</x:v>
      </x:c>
      <x:c r="D598" s="2" t="n">
        <x:v>1</x:v>
      </x:c>
      <x:c r="E598" s="2" t="str">
        <x:v>Online</x:v>
      </x:c>
      <x:c r="F598" s="14" t="n">
        <x:v>1690</x:v>
      </x:c>
      <x:c r="G598" s="2" t="str">
        <x:v>Simulated</x:v>
      </x:c>
    </x:row>
    <x:row r="599" ht="22" customHeight="1">
      <x:c r="A599" s="2" t="str">
        <x:v>BK-TC-05005-005</x:v>
      </x:c>
      <x:c r="B599" s="2" t="str">
        <x:v>TC-05005</x:v>
      </x:c>
      <x:c r="C599" s="12" t="n">
        <x:v>46242</x:v>
      </x:c>
      <x:c r="D599" s="2" t="n">
        <x:v>1</x:v>
      </x:c>
      <x:c r="E599" s="2" t="str">
        <x:v>Online</x:v>
      </x:c>
      <x:c r="F599" s="14" t="n">
        <x:v>1690</x:v>
      </x:c>
      <x:c r="G599" s="2" t="str">
        <x:v>Simulated</x:v>
      </x:c>
    </x:row>
    <x:row r="600" ht="22" customHeight="1">
      <x:c r="A600" s="2" t="str">
        <x:v>BK-TC-05005-006</x:v>
      </x:c>
      <x:c r="B600" s="2" t="str">
        <x:v>TC-05005</x:v>
      </x:c>
      <x:c r="C600" s="12" t="n">
        <x:v>46263</x:v>
      </x:c>
      <x:c r="D600" s="2" t="n">
        <x:v>1</x:v>
      </x:c>
      <x:c r="E600" s="2" t="str">
        <x:v>Online</x:v>
      </x:c>
      <x:c r="F600" s="14" t="n">
        <x:v>1690</x:v>
      </x:c>
      <x:c r="G600" s="2" t="str">
        <x:v>Simulated</x:v>
      </x:c>
    </x:row>
    <x:row r="601" ht="22" customHeight="1">
      <x:c r="A601" s="2" t="str">
        <x:v>BK-TC-05005-007</x:v>
      </x:c>
      <x:c r="B601" s="2" t="str">
        <x:v>TC-05005</x:v>
      </x:c>
      <x:c r="C601" s="12" t="n">
        <x:v>46282</x:v>
      </x:c>
      <x:c r="D601" s="2" t="n">
        <x:v>1</x:v>
      </x:c>
      <x:c r="E601" s="2" t="str">
        <x:v>Retail</x:v>
      </x:c>
      <x:c r="F601" s="14" t="n">
        <x:v>1690</x:v>
      </x:c>
      <x:c r="G601" s="2" t="str">
        <x:v>Simulated</x:v>
      </x:c>
    </x:row>
    <x:row r="602" ht="22" customHeight="1">
      <x:c r="A602" s="2" t="str">
        <x:v>BK-TC-05005-008</x:v>
      </x:c>
      <x:c r="B602" s="2" t="str">
        <x:v>TC-05005</x:v>
      </x:c>
      <x:c r="C602" s="12" t="n">
        <x:v>46192</x:v>
      </x:c>
      <x:c r="D602" s="2" t="n">
        <x:v>1</x:v>
      </x:c>
      <x:c r="E602" s="2" t="str">
        <x:v>Retail</x:v>
      </x:c>
      <x:c r="F602" s="14" t="n">
        <x:v>1690</x:v>
      </x:c>
      <x:c r="G602" s="2" t="str">
        <x:v>Simulated</x:v>
      </x:c>
    </x:row>
    <x:row r="603" ht="22" customHeight="1">
      <x:c r="A603" s="2" t="str">
        <x:v>BK-TC-05005-009</x:v>
      </x:c>
      <x:c r="B603" s="2" t="str">
        <x:v>TC-05005</x:v>
      </x:c>
      <x:c r="C603" s="12" t="n">
        <x:v>46232</x:v>
      </x:c>
      <x:c r="D603" s="2" t="n">
        <x:v>1</x:v>
      </x:c>
      <x:c r="E603" s="2" t="str">
        <x:v>Trade</x:v>
      </x:c>
      <x:c r="F603" s="14" t="n">
        <x:v>1690</x:v>
      </x:c>
      <x:c r="G603" s="2" t="str">
        <x:v>Simulated</x:v>
      </x:c>
    </x:row>
    <x:row r="604" ht="22" customHeight="1">
      <x:c r="A604" s="2" t="str">
        <x:v>BK-TC-05005-010</x:v>
      </x:c>
      <x:c r="B604" s="2" t="str">
        <x:v>TC-05005</x:v>
      </x:c>
      <x:c r="C604" s="12" t="n">
        <x:v>46214</x:v>
      </x:c>
      <x:c r="D604" s="2" t="n">
        <x:v>1</x:v>
      </x:c>
      <x:c r="E604" s="2" t="str">
        <x:v>Online</x:v>
      </x:c>
      <x:c r="F604" s="14" t="n">
        <x:v>1690</x:v>
      </x:c>
      <x:c r="G604" s="2" t="str">
        <x:v>Simulated</x:v>
      </x:c>
    </x:row>
    <x:row r="605" ht="22" customHeight="1">
      <x:c r="A605" s="2" t="str">
        <x:v>BK-TC-05005-011</x:v>
      </x:c>
      <x:c r="B605" s="2" t="str">
        <x:v>TC-05005</x:v>
      </x:c>
      <x:c r="C605" s="12" t="n">
        <x:v>46199</x:v>
      </x:c>
      <x:c r="D605" s="2" t="n">
        <x:v>1</x:v>
      </x:c>
      <x:c r="E605" s="2" t="str">
        <x:v>Retail</x:v>
      </x:c>
      <x:c r="F605" s="14" t="n">
        <x:v>1690</x:v>
      </x:c>
      <x:c r="G605" s="2" t="str">
        <x:v>Simulated</x:v>
      </x:c>
    </x:row>
    <x:row r="606" ht="22" customHeight="1">
      <x:c r="A606" s="2" t="str">
        <x:v>BK-TC-05005-012</x:v>
      </x:c>
      <x:c r="B606" s="2" t="str">
        <x:v>TC-05005</x:v>
      </x:c>
      <x:c r="C606" s="12" t="n">
        <x:v>46289</x:v>
      </x:c>
      <x:c r="D606" s="2" t="n">
        <x:v>1</x:v>
      </x:c>
      <x:c r="E606" s="2" t="str">
        <x:v>Online</x:v>
      </x:c>
      <x:c r="F606" s="14" t="n">
        <x:v>1690</x:v>
      </x:c>
      <x:c r="G606" s="2" t="str">
        <x:v>Simulated</x:v>
      </x:c>
    </x:row>
    <x:row r="607" ht="22" customHeight="1">
      <x:c r="A607" s="2" t="str">
        <x:v>BK-TC-05006-001</x:v>
      </x:c>
      <x:c r="B607" s="2" t="str">
        <x:v>TC-05006</x:v>
      </x:c>
      <x:c r="C607" s="12" t="n">
        <x:v>46259</x:v>
      </x:c>
      <x:c r="D607" s="2" t="n">
        <x:v>1</x:v>
      </x:c>
      <x:c r="E607" s="2" t="str">
        <x:v>Retail</x:v>
      </x:c>
      <x:c r="F607" s="14" t="n">
        <x:v>1690</x:v>
      </x:c>
      <x:c r="G607" s="2" t="str">
        <x:v>Simulated</x:v>
      </x:c>
    </x:row>
    <x:row r="608" ht="22" customHeight="1">
      <x:c r="A608" s="2" t="str">
        <x:v>BK-TC-05006-002</x:v>
      </x:c>
      <x:c r="B608" s="2" t="str">
        <x:v>TC-05006</x:v>
      </x:c>
      <x:c r="C608" s="12" t="n">
        <x:v>46222</x:v>
      </x:c>
      <x:c r="D608" s="2" t="n">
        <x:v>1</x:v>
      </x:c>
      <x:c r="E608" s="2" t="str">
        <x:v>Online</x:v>
      </x:c>
      <x:c r="F608" s="14" t="n">
        <x:v>1690</x:v>
      </x:c>
      <x:c r="G608" s="2" t="str">
        <x:v>Simulated</x:v>
      </x:c>
    </x:row>
    <x:row r="609" ht="22" customHeight="1">
      <x:c r="A609" s="2" t="str">
        <x:v>BK-TC-05006-003</x:v>
      </x:c>
      <x:c r="B609" s="2" t="str">
        <x:v>TC-05006</x:v>
      </x:c>
      <x:c r="C609" s="12" t="n">
        <x:v>46289</x:v>
      </x:c>
      <x:c r="D609" s="2" t="n">
        <x:v>1</x:v>
      </x:c>
      <x:c r="E609" s="2" t="str">
        <x:v>Trade</x:v>
      </x:c>
      <x:c r="F609" s="14" t="n">
        <x:v>1690</x:v>
      </x:c>
      <x:c r="G609" s="2" t="str">
        <x:v>Simulated</x:v>
      </x:c>
    </x:row>
    <x:row r="610" ht="22" customHeight="1">
      <x:c r="A610" s="2" t="str">
        <x:v>BK-TC-05006-004</x:v>
      </x:c>
      <x:c r="B610" s="2" t="str">
        <x:v>TC-05006</x:v>
      </x:c>
      <x:c r="C610" s="12" t="n">
        <x:v>46212</x:v>
      </x:c>
      <x:c r="D610" s="2" t="n">
        <x:v>1</x:v>
      </x:c>
      <x:c r="E610" s="2" t="str">
        <x:v>Trade</x:v>
      </x:c>
      <x:c r="F610" s="14" t="n">
        <x:v>1690</x:v>
      </x:c>
      <x:c r="G610" s="2" t="str">
        <x:v>Simulated</x:v>
      </x:c>
    </x:row>
    <x:row r="611" ht="22" customHeight="1">
      <x:c r="A611" s="2" t="str">
        <x:v>BK-TC-05006-005</x:v>
      </x:c>
      <x:c r="B611" s="2" t="str">
        <x:v>TC-05006</x:v>
      </x:c>
      <x:c r="C611" s="12" t="n">
        <x:v>46267</x:v>
      </x:c>
      <x:c r="D611" s="2" t="n">
        <x:v>1</x:v>
      </x:c>
      <x:c r="E611" s="2" t="str">
        <x:v>Trade</x:v>
      </x:c>
      <x:c r="F611" s="14" t="n">
        <x:v>1690</x:v>
      </x:c>
      <x:c r="G611" s="2" t="str">
        <x:v>Simulated</x:v>
      </x:c>
    </x:row>
    <x:row r="612" ht="22" customHeight="1">
      <x:c r="A612" s="2" t="str">
        <x:v>BK-TC-05006-006</x:v>
      </x:c>
      <x:c r="B612" s="2" t="str">
        <x:v>TC-05006</x:v>
      </x:c>
      <x:c r="C612" s="12" t="n">
        <x:v>46269</x:v>
      </x:c>
      <x:c r="D612" s="2" t="n">
        <x:v>1</x:v>
      </x:c>
      <x:c r="E612" s="2" t="str">
        <x:v>Trade</x:v>
      </x:c>
      <x:c r="F612" s="14" t="n">
        <x:v>1690</x:v>
      </x:c>
      <x:c r="G612" s="2" t="str">
        <x:v>Simulated</x:v>
      </x:c>
    </x:row>
    <x:row r="613" ht="22" customHeight="1">
      <x:c r="A613" s="2" t="str">
        <x:v>BK-TC-05006-007</x:v>
      </x:c>
      <x:c r="B613" s="2" t="str">
        <x:v>TC-05006</x:v>
      </x:c>
      <x:c r="C613" s="12" t="n">
        <x:v>46293</x:v>
      </x:c>
      <x:c r="D613" s="2" t="n">
        <x:v>1</x:v>
      </x:c>
      <x:c r="E613" s="2" t="str">
        <x:v>Online</x:v>
      </x:c>
      <x:c r="F613" s="14" t="n">
        <x:v>1690</x:v>
      </x:c>
      <x:c r="G613" s="2" t="str">
        <x:v>Simulated</x:v>
      </x:c>
    </x:row>
    <x:row r="614" ht="22" customHeight="1">
      <x:c r="A614" s="2" t="str">
        <x:v>BK-TC-05006-008</x:v>
      </x:c>
      <x:c r="B614" s="2" t="str">
        <x:v>TC-05006</x:v>
      </x:c>
      <x:c r="C614" s="12" t="n">
        <x:v>46300</x:v>
      </x:c>
      <x:c r="D614" s="2" t="n">
        <x:v>1</x:v>
      </x:c>
      <x:c r="E614" s="2" t="str">
        <x:v>Trade</x:v>
      </x:c>
      <x:c r="F614" s="14" t="n">
        <x:v>1690</x:v>
      </x:c>
      <x:c r="G614" s="2" t="str">
        <x:v>Simulated</x:v>
      </x:c>
    </x:row>
    <x:row r="615" ht="22" customHeight="1">
      <x:c r="A615" s="2" t="str">
        <x:v>BK-TC-05006-009</x:v>
      </x:c>
      <x:c r="B615" s="2" t="str">
        <x:v>TC-05006</x:v>
      </x:c>
      <x:c r="C615" s="12" t="n">
        <x:v>46267</x:v>
      </x:c>
      <x:c r="D615" s="2" t="n">
        <x:v>1</x:v>
      </x:c>
      <x:c r="E615" s="2" t="str">
        <x:v>Trade</x:v>
      </x:c>
      <x:c r="F615" s="14" t="n">
        <x:v>1690</x:v>
      </x:c>
      <x:c r="G615" s="2" t="str">
        <x:v>Simulated</x:v>
      </x:c>
    </x:row>
    <x:row r="616" ht="22" customHeight="1">
      <x:c r="A616" s="2" t="str">
        <x:v>BK-TC-05006-010</x:v>
      </x:c>
      <x:c r="B616" s="2" t="str">
        <x:v>TC-05006</x:v>
      </x:c>
      <x:c r="C616" s="12" t="n">
        <x:v>46289</x:v>
      </x:c>
      <x:c r="D616" s="2" t="n">
        <x:v>1</x:v>
      </x:c>
      <x:c r="E616" s="2" t="str">
        <x:v>Online</x:v>
      </x:c>
      <x:c r="F616" s="14" t="n">
        <x:v>1690</x:v>
      </x:c>
      <x:c r="G616" s="2" t="str">
        <x:v>Simulated</x:v>
      </x:c>
    </x:row>
    <x:row r="617" ht="22" customHeight="1">
      <x:c r="A617" s="2" t="str">
        <x:v>BK-TC-05006-011</x:v>
      </x:c>
      <x:c r="B617" s="2" t="str">
        <x:v>TC-05006</x:v>
      </x:c>
      <x:c r="C617" s="12" t="n">
        <x:v>46227</x:v>
      </x:c>
      <x:c r="D617" s="2" t="n">
        <x:v>1</x:v>
      </x:c>
      <x:c r="E617" s="2" t="str">
        <x:v>Trade</x:v>
      </x:c>
      <x:c r="F617" s="14" t="n">
        <x:v>1690</x:v>
      </x:c>
      <x:c r="G617" s="2" t="str">
        <x:v>Simulated</x:v>
      </x:c>
    </x:row>
    <x:row r="618" ht="22" customHeight="1">
      <x:c r="A618" s="2" t="str">
        <x:v>BK-TC-05007-001</x:v>
      </x:c>
      <x:c r="B618" s="2" t="str">
        <x:v>TC-05007</x:v>
      </x:c>
      <x:c r="C618" s="12" t="n">
        <x:v>46231</x:v>
      </x:c>
      <x:c r="D618" s="2" t="n">
        <x:v>1</x:v>
      </x:c>
      <x:c r="E618" s="2" t="str">
        <x:v>Retail</x:v>
      </x:c>
      <x:c r="F618" s="14" t="n">
        <x:v>1690</x:v>
      </x:c>
      <x:c r="G618" s="2" t="str">
        <x:v>Simulated</x:v>
      </x:c>
    </x:row>
    <x:row r="619" ht="22" customHeight="1">
      <x:c r="A619" s="2" t="str">
        <x:v>BK-TC-05007-002</x:v>
      </x:c>
      <x:c r="B619" s="2" t="str">
        <x:v>TC-05007</x:v>
      </x:c>
      <x:c r="C619" s="12" t="n">
        <x:v>46295</x:v>
      </x:c>
      <x:c r="D619" s="2" t="n">
        <x:v>1</x:v>
      </x:c>
      <x:c r="E619" s="2" t="str">
        <x:v>Online</x:v>
      </x:c>
      <x:c r="F619" s="14" t="n">
        <x:v>1690</x:v>
      </x:c>
      <x:c r="G619" s="2" t="str">
        <x:v>Simulated</x:v>
      </x:c>
    </x:row>
    <x:row r="620" ht="22" customHeight="1">
      <x:c r="A620" s="2" t="str">
        <x:v>BK-TC-05007-003</x:v>
      </x:c>
      <x:c r="B620" s="2" t="str">
        <x:v>TC-05007</x:v>
      </x:c>
      <x:c r="C620" s="12" t="n">
        <x:v>46233</x:v>
      </x:c>
      <x:c r="D620" s="2" t="n">
        <x:v>1</x:v>
      </x:c>
      <x:c r="E620" s="2" t="str">
        <x:v>Trade</x:v>
      </x:c>
      <x:c r="F620" s="14" t="n">
        <x:v>1690</x:v>
      </x:c>
      <x:c r="G620" s="2" t="str">
        <x:v>Simulated</x:v>
      </x:c>
    </x:row>
    <x:row r="621" ht="22" customHeight="1">
      <x:c r="A621" s="2" t="str">
        <x:v>BK-TC-05007-004</x:v>
      </x:c>
      <x:c r="B621" s="2" t="str">
        <x:v>TC-05007</x:v>
      </x:c>
      <x:c r="C621" s="12" t="n">
        <x:v>46254</x:v>
      </x:c>
      <x:c r="D621" s="2" t="n">
        <x:v>1</x:v>
      </x:c>
      <x:c r="E621" s="2" t="str">
        <x:v>Trade</x:v>
      </x:c>
      <x:c r="F621" s="14" t="n">
        <x:v>1690</x:v>
      </x:c>
      <x:c r="G621" s="2" t="str">
        <x:v>Simulated</x:v>
      </x:c>
    </x:row>
    <x:row r="622" ht="22" customHeight="1">
      <x:c r="A622" s="2" t="str">
        <x:v>BK-TC-05007-005</x:v>
      </x:c>
      <x:c r="B622" s="2" t="str">
        <x:v>TC-05007</x:v>
      </x:c>
      <x:c r="C622" s="12" t="n">
        <x:v>46290</x:v>
      </x:c>
      <x:c r="D622" s="2" t="n">
        <x:v>1</x:v>
      </x:c>
      <x:c r="E622" s="2" t="str">
        <x:v>Trade</x:v>
      </x:c>
      <x:c r="F622" s="14" t="n">
        <x:v>1690</x:v>
      </x:c>
      <x:c r="G622" s="2" t="str">
        <x:v>Simulated</x:v>
      </x:c>
    </x:row>
    <x:row r="623" ht="22" customHeight="1">
      <x:c r="A623" s="2" t="str">
        <x:v>BK-TC-05007-006</x:v>
      </x:c>
      <x:c r="B623" s="2" t="str">
        <x:v>TC-05007</x:v>
      </x:c>
      <x:c r="C623" s="12" t="n">
        <x:v>46278</x:v>
      </x:c>
      <x:c r="D623" s="2" t="n">
        <x:v>1</x:v>
      </x:c>
      <x:c r="E623" s="2" t="str">
        <x:v>Online</x:v>
      </x:c>
      <x:c r="F623" s="14" t="n">
        <x:v>1690</x:v>
      </x:c>
      <x:c r="G623" s="2" t="str">
        <x:v>Simulated</x:v>
      </x:c>
    </x:row>
    <x:row r="624" ht="22" customHeight="1">
      <x:c r="A624" s="2" t="str">
        <x:v>BK-TC-05007-007</x:v>
      </x:c>
      <x:c r="B624" s="2" t="str">
        <x:v>TC-05007</x:v>
      </x:c>
      <x:c r="C624" s="12" t="n">
        <x:v>46299</x:v>
      </x:c>
      <x:c r="D624" s="2" t="n">
        <x:v>1</x:v>
      </x:c>
      <x:c r="E624" s="2" t="str">
        <x:v>Trade</x:v>
      </x:c>
      <x:c r="F624" s="14" t="n">
        <x:v>1690</x:v>
      </x:c>
      <x:c r="G624" s="2" t="str">
        <x:v>Simulated</x:v>
      </x:c>
    </x:row>
    <x:row r="625" ht="22" customHeight="1">
      <x:c r="A625" s="2" t="str">
        <x:v>BK-TC-05007-008</x:v>
      </x:c>
      <x:c r="B625" s="2" t="str">
        <x:v>TC-05007</x:v>
      </x:c>
      <x:c r="C625" s="12" t="n">
        <x:v>46284</x:v>
      </x:c>
      <x:c r="D625" s="2" t="n">
        <x:v>1</x:v>
      </x:c>
      <x:c r="E625" s="2" t="str">
        <x:v>Retail</x:v>
      </x:c>
      <x:c r="F625" s="14" t="n">
        <x:v>1690</x:v>
      </x:c>
      <x:c r="G625" s="2" t="str">
        <x:v>Simulated</x:v>
      </x:c>
    </x:row>
    <x:row r="626" ht="22" customHeight="1">
      <x:c r="A626" s="2" t="str">
        <x:v>BK-TC-05007-009</x:v>
      </x:c>
      <x:c r="B626" s="2" t="str">
        <x:v>TC-05007</x:v>
      </x:c>
      <x:c r="C626" s="12" t="n">
        <x:v>46262</x:v>
      </x:c>
      <x:c r="D626" s="2" t="n">
        <x:v>1</x:v>
      </x:c>
      <x:c r="E626" s="2" t="str">
        <x:v>Online</x:v>
      </x:c>
      <x:c r="F626" s="14" t="n">
        <x:v>1690</x:v>
      </x:c>
      <x:c r="G626" s="2" t="str">
        <x:v>Simulated</x:v>
      </x:c>
    </x:row>
    <x:row r="627" ht="22" customHeight="1">
      <x:c r="A627" s="2" t="str">
        <x:v>BK-TC-05007-010</x:v>
      </x:c>
      <x:c r="B627" s="2" t="str">
        <x:v>TC-05007</x:v>
      </x:c>
      <x:c r="C627" s="12" t="n">
        <x:v>46235</x:v>
      </x:c>
      <x:c r="D627" s="2" t="n">
        <x:v>1</x:v>
      </x:c>
      <x:c r="E627" s="2" t="str">
        <x:v>Retail</x:v>
      </x:c>
      <x:c r="F627" s="14" t="n">
        <x:v>1690</x:v>
      </x:c>
      <x:c r="G627" s="2" t="str">
        <x:v>Simulated</x:v>
      </x:c>
    </x:row>
    <x:row r="628" ht="22" customHeight="1">
      <x:c r="A628" s="2" t="str">
        <x:v>BK-TC-05007-011</x:v>
      </x:c>
      <x:c r="B628" s="2" t="str">
        <x:v>TC-05007</x:v>
      </x:c>
      <x:c r="C628" s="12" t="n">
        <x:v>46251</x:v>
      </x:c>
      <x:c r="D628" s="2" t="n">
        <x:v>1</x:v>
      </x:c>
      <x:c r="E628" s="2" t="str">
        <x:v>Trade</x:v>
      </x:c>
      <x:c r="F628" s="14" t="n">
        <x:v>1690</x:v>
      </x:c>
      <x:c r="G628" s="2" t="str">
        <x:v>Simulated</x:v>
      </x:c>
    </x:row>
    <x:row r="629" ht="22" customHeight="1">
      <x:c r="A629" s="2" t="str">
        <x:v>BK-TC-05007-012</x:v>
      </x:c>
      <x:c r="B629" s="2" t="str">
        <x:v>TC-05007</x:v>
      </x:c>
      <x:c r="C629" s="12" t="n">
        <x:v>46267</x:v>
      </x:c>
      <x:c r="D629" s="2" t="n">
        <x:v>1</x:v>
      </x:c>
      <x:c r="E629" s="2" t="str">
        <x:v>Trade</x:v>
      </x:c>
      <x:c r="F629" s="14" t="n">
        <x:v>1690</x:v>
      </x:c>
      <x:c r="G629" s="2" t="str">
        <x:v>Simulated</x:v>
      </x:c>
    </x:row>
    <x:row r="630" ht="22" customHeight="1">
      <x:c r="A630" s="2" t="str">
        <x:v>BK-TC-05008-001</x:v>
      </x:c>
      <x:c r="B630" s="2" t="str">
        <x:v>TC-05008</x:v>
      </x:c>
      <x:c r="C630" s="12" t="n">
        <x:v>46280</x:v>
      </x:c>
      <x:c r="D630" s="2" t="n">
        <x:v>1</x:v>
      </x:c>
      <x:c r="E630" s="2" t="str">
        <x:v>Retail</x:v>
      </x:c>
      <x:c r="F630" s="14" t="n">
        <x:v>1690</x:v>
      </x:c>
      <x:c r="G630" s="2" t="str">
        <x:v>Simulated</x:v>
      </x:c>
    </x:row>
    <x:row r="631" ht="22" customHeight="1">
      <x:c r="A631" s="2" t="str">
        <x:v>BK-TC-05008-002</x:v>
      </x:c>
      <x:c r="B631" s="2" t="str">
        <x:v>TC-05008</x:v>
      </x:c>
      <x:c r="C631" s="12" t="n">
        <x:v>46252</x:v>
      </x:c>
      <x:c r="D631" s="2" t="n">
        <x:v>1</x:v>
      </x:c>
      <x:c r="E631" s="2" t="str">
        <x:v>Online</x:v>
      </x:c>
      <x:c r="F631" s="14" t="n">
        <x:v>1690</x:v>
      </x:c>
      <x:c r="G631" s="2" t="str">
        <x:v>Simulated</x:v>
      </x:c>
    </x:row>
    <x:row r="632" ht="22" customHeight="1">
      <x:c r="A632" s="2" t="str">
        <x:v>BK-TC-05008-003</x:v>
      </x:c>
      <x:c r="B632" s="2" t="str">
        <x:v>TC-05008</x:v>
      </x:c>
      <x:c r="C632" s="12" t="n">
        <x:v>46249</x:v>
      </x:c>
      <x:c r="D632" s="2" t="n">
        <x:v>1</x:v>
      </x:c>
      <x:c r="E632" s="2" t="str">
        <x:v>Online</x:v>
      </x:c>
      <x:c r="F632" s="14" t="n">
        <x:v>1690</x:v>
      </x:c>
      <x:c r="G632" s="2" t="str">
        <x:v>Simulated</x:v>
      </x:c>
    </x:row>
    <x:row r="633" ht="22" customHeight="1">
      <x:c r="A633" s="2" t="str">
        <x:v>BK-TC-05008-004</x:v>
      </x:c>
      <x:c r="B633" s="2" t="str">
        <x:v>TC-05008</x:v>
      </x:c>
      <x:c r="C633" s="12" t="n">
        <x:v>46276</x:v>
      </x:c>
      <x:c r="D633" s="2" t="n">
        <x:v>1</x:v>
      </x:c>
      <x:c r="E633" s="2" t="str">
        <x:v>Retail</x:v>
      </x:c>
      <x:c r="F633" s="14" t="n">
        <x:v>1690</x:v>
      </x:c>
      <x:c r="G633" s="2" t="str">
        <x:v>Simulated</x:v>
      </x:c>
    </x:row>
    <x:row r="634" ht="22" customHeight="1">
      <x:c r="A634" s="2" t="str">
        <x:v>BK-TC-05008-005</x:v>
      </x:c>
      <x:c r="B634" s="2" t="str">
        <x:v>TC-05008</x:v>
      </x:c>
      <x:c r="C634" s="12" t="n">
        <x:v>46247</x:v>
      </x:c>
      <x:c r="D634" s="2" t="n">
        <x:v>1</x:v>
      </x:c>
      <x:c r="E634" s="2" t="str">
        <x:v>Retail</x:v>
      </x:c>
      <x:c r="F634" s="14" t="n">
        <x:v>1690</x:v>
      </x:c>
      <x:c r="G634" s="2" t="str">
        <x:v>Simulated</x:v>
      </x:c>
    </x:row>
    <x:row r="635" ht="22" customHeight="1">
      <x:c r="A635" s="2" t="str">
        <x:v>BK-TC-05008-006</x:v>
      </x:c>
      <x:c r="B635" s="2" t="str">
        <x:v>TC-05008</x:v>
      </x:c>
      <x:c r="C635" s="12" t="n">
        <x:v>46258</x:v>
      </x:c>
      <x:c r="D635" s="2" t="n">
        <x:v>1</x:v>
      </x:c>
      <x:c r="E635" s="2" t="str">
        <x:v>Online</x:v>
      </x:c>
      <x:c r="F635" s="14" t="n">
        <x:v>1690</x:v>
      </x:c>
      <x:c r="G635" s="2" t="str">
        <x:v>Simulated</x:v>
      </x:c>
    </x:row>
    <x:row r="636" ht="22" customHeight="1">
      <x:c r="A636" s="2" t="str">
        <x:v>BK-TC-05008-007</x:v>
      </x:c>
      <x:c r="B636" s="2" t="str">
        <x:v>TC-05008</x:v>
      </x:c>
      <x:c r="C636" s="12" t="n">
        <x:v>46290</x:v>
      </x:c>
      <x:c r="D636" s="2" t="n">
        <x:v>1</x:v>
      </x:c>
      <x:c r="E636" s="2" t="str">
        <x:v>Online</x:v>
      </x:c>
      <x:c r="F636" s="14" t="n">
        <x:v>1690</x:v>
      </x:c>
      <x:c r="G636" s="2" t="str">
        <x:v>Simulated</x:v>
      </x:c>
    </x:row>
    <x:row r="637" ht="22" customHeight="1">
      <x:c r="A637" s="2" t="str">
        <x:v>BK-TC-05008-008</x:v>
      </x:c>
      <x:c r="B637" s="2" t="str">
        <x:v>TC-05008</x:v>
      </x:c>
      <x:c r="C637" s="12" t="n">
        <x:v>46292</x:v>
      </x:c>
      <x:c r="D637" s="2" t="n">
        <x:v>1</x:v>
      </x:c>
      <x:c r="E637" s="2" t="str">
        <x:v>Retail</x:v>
      </x:c>
      <x:c r="F637" s="14" t="n">
        <x:v>1690</x:v>
      </x:c>
      <x:c r="G637" s="2" t="str">
        <x:v>Simulated</x:v>
      </x:c>
    </x:row>
    <x:row r="638" ht="22" customHeight="1">
      <x:c r="A638" s="2" t="str">
        <x:v>BK-TC-05008-009</x:v>
      </x:c>
      <x:c r="B638" s="2" t="str">
        <x:v>TC-05008</x:v>
      </x:c>
      <x:c r="C638" s="12" t="n">
        <x:v>46288</x:v>
      </x:c>
      <x:c r="D638" s="2" t="n">
        <x:v>1</x:v>
      </x:c>
      <x:c r="E638" s="2" t="str">
        <x:v>Retail</x:v>
      </x:c>
      <x:c r="F638" s="14" t="n">
        <x:v>1690</x:v>
      </x:c>
      <x:c r="G638" s="2" t="str">
        <x:v>Simulated</x:v>
      </x:c>
    </x:row>
    <x:row r="639" ht="22" customHeight="1">
      <x:c r="A639" s="2" t="str">
        <x:v>BK-TC-05008-010</x:v>
      </x:c>
      <x:c r="B639" s="2" t="str">
        <x:v>TC-05008</x:v>
      </x:c>
      <x:c r="C639" s="12" t="n">
        <x:v>46291</x:v>
      </x:c>
      <x:c r="D639" s="2" t="n">
        <x:v>1</x:v>
      </x:c>
      <x:c r="E639" s="2" t="str">
        <x:v>Retail</x:v>
      </x:c>
      <x:c r="F639" s="14" t="n">
        <x:v>1690</x:v>
      </x:c>
      <x:c r="G639" s="2" t="str">
        <x:v>Simulated</x:v>
      </x:c>
    </x:row>
    <x:row r="640" ht="22" customHeight="1">
      <x:c r="A640" s="2" t="str">
        <x:v>BK-TC-06001-001</x:v>
      </x:c>
      <x:c r="B640" s="2" t="str">
        <x:v>TC-06001</x:v>
      </x:c>
      <x:c r="C640" s="12" t="n">
        <x:v>46171</x:v>
      </x:c>
      <x:c r="D640" s="2" t="n">
        <x:v>1</x:v>
      </x:c>
      <x:c r="E640" s="2" t="str">
        <x:v>Online</x:v>
      </x:c>
      <x:c r="F640" s="14" t="n">
        <x:v>1420</x:v>
      </x:c>
      <x:c r="G640" s="2" t="str">
        <x:v>Simulated</x:v>
      </x:c>
    </x:row>
    <x:row r="641" ht="22" customHeight="1">
      <x:c r="A641" s="2" t="str">
        <x:v>BK-TC-06001-002</x:v>
      </x:c>
      <x:c r="B641" s="2" t="str">
        <x:v>TC-06001</x:v>
      </x:c>
      <x:c r="C641" s="12" t="n">
        <x:v>46187</x:v>
      </x:c>
      <x:c r="D641" s="2" t="n">
        <x:v>1</x:v>
      </x:c>
      <x:c r="E641" s="2" t="str">
        <x:v>Trade</x:v>
      </x:c>
      <x:c r="F641" s="14" t="n">
        <x:v>1420</x:v>
      </x:c>
      <x:c r="G641" s="2" t="str">
        <x:v>Simulated</x:v>
      </x:c>
    </x:row>
    <x:row r="642" ht="22" customHeight="1">
      <x:c r="A642" s="2" t="str">
        <x:v>BK-TC-06001-003</x:v>
      </x:c>
      <x:c r="B642" s="2" t="str">
        <x:v>TC-06001</x:v>
      </x:c>
      <x:c r="C642" s="12" t="n">
        <x:v>46132</x:v>
      </x:c>
      <x:c r="D642" s="2" t="n">
        <x:v>1</x:v>
      </x:c>
      <x:c r="E642" s="2" t="str">
        <x:v>Retail</x:v>
      </x:c>
      <x:c r="F642" s="14" t="n">
        <x:v>1420</x:v>
      </x:c>
      <x:c r="G642" s="2" t="str">
        <x:v>Simulated</x:v>
      </x:c>
    </x:row>
    <x:row r="643" ht="22" customHeight="1">
      <x:c r="A643" s="2" t="str">
        <x:v>BK-TC-06001-004</x:v>
      </x:c>
      <x:c r="B643" s="2" t="str">
        <x:v>TC-06001</x:v>
      </x:c>
      <x:c r="C643" s="12" t="n">
        <x:v>46246</x:v>
      </x:c>
      <x:c r="D643" s="2" t="n">
        <x:v>1</x:v>
      </x:c>
      <x:c r="E643" s="2" t="str">
        <x:v>Retail</x:v>
      </x:c>
      <x:c r="F643" s="14" t="n">
        <x:v>1420</x:v>
      </x:c>
      <x:c r="G643" s="2" t="str">
        <x:v>Simulated</x:v>
      </x:c>
    </x:row>
    <x:row r="644" ht="22" customHeight="1">
      <x:c r="A644" s="2" t="str">
        <x:v>BK-TC-06001-005</x:v>
      </x:c>
      <x:c r="B644" s="2" t="str">
        <x:v>TC-06001</x:v>
      </x:c>
      <x:c r="C644" s="12" t="n">
        <x:v>46249</x:v>
      </x:c>
      <x:c r="D644" s="2" t="n">
        <x:v>1</x:v>
      </x:c>
      <x:c r="E644" s="2" t="str">
        <x:v>Online</x:v>
      </x:c>
      <x:c r="F644" s="14" t="n">
        <x:v>1420</x:v>
      </x:c>
      <x:c r="G644" s="2" t="str">
        <x:v>Simulated</x:v>
      </x:c>
    </x:row>
    <x:row r="645" ht="22" customHeight="1">
      <x:c r="A645" s="2" t="str">
        <x:v>BK-TC-06001-006</x:v>
      </x:c>
      <x:c r="B645" s="2" t="str">
        <x:v>TC-06001</x:v>
      </x:c>
      <x:c r="C645" s="12" t="n">
        <x:v>46225</x:v>
      </x:c>
      <x:c r="D645" s="2" t="n">
        <x:v>1</x:v>
      </x:c>
      <x:c r="E645" s="2" t="str">
        <x:v>Online</x:v>
      </x:c>
      <x:c r="F645" s="14" t="n">
        <x:v>1420</x:v>
      </x:c>
      <x:c r="G645" s="2" t="str">
        <x:v>Simulated</x:v>
      </x:c>
    </x:row>
    <x:row r="646" ht="22" customHeight="1">
      <x:c r="A646" s="2" t="str">
        <x:v>BK-TC-06001-007</x:v>
      </x:c>
      <x:c r="B646" s="2" t="str">
        <x:v>TC-06001</x:v>
      </x:c>
      <x:c r="C646" s="12" t="n">
        <x:v>46172</x:v>
      </x:c>
      <x:c r="D646" s="2" t="n">
        <x:v>1</x:v>
      </x:c>
      <x:c r="E646" s="2" t="str">
        <x:v>Online</x:v>
      </x:c>
      <x:c r="F646" s="14" t="n">
        <x:v>1420</x:v>
      </x:c>
      <x:c r="G646" s="2" t="str">
        <x:v>Simulated</x:v>
      </x:c>
    </x:row>
    <x:row r="647" ht="22" customHeight="1">
      <x:c r="A647" s="2" t="str">
        <x:v>BK-TC-06001-008</x:v>
      </x:c>
      <x:c r="B647" s="2" t="str">
        <x:v>TC-06001</x:v>
      </x:c>
      <x:c r="C647" s="12" t="n">
        <x:v>46223</x:v>
      </x:c>
      <x:c r="D647" s="2" t="n">
        <x:v>1</x:v>
      </x:c>
      <x:c r="E647" s="2" t="str">
        <x:v>Online</x:v>
      </x:c>
      <x:c r="F647" s="14" t="n">
        <x:v>1420</x:v>
      </x:c>
      <x:c r="G647" s="2" t="str">
        <x:v>Simulated</x:v>
      </x:c>
    </x:row>
    <x:row r="648" ht="22" customHeight="1">
      <x:c r="A648" s="2" t="str">
        <x:v>BK-TC-06001-009</x:v>
      </x:c>
      <x:c r="B648" s="2" t="str">
        <x:v>TC-06001</x:v>
      </x:c>
      <x:c r="C648" s="12" t="n">
        <x:v>46278</x:v>
      </x:c>
      <x:c r="D648" s="2" t="n">
        <x:v>1</x:v>
      </x:c>
      <x:c r="E648" s="2" t="str">
        <x:v>Trade</x:v>
      </x:c>
      <x:c r="F648" s="14" t="n">
        <x:v>1420</x:v>
      </x:c>
      <x:c r="G648" s="2" t="str">
        <x:v>Simulated</x:v>
      </x:c>
    </x:row>
    <x:row r="649" ht="22" customHeight="1">
      <x:c r="A649" s="2" t="str">
        <x:v>BK-TC-06001-010</x:v>
      </x:c>
      <x:c r="B649" s="2" t="str">
        <x:v>TC-06001</x:v>
      </x:c>
      <x:c r="C649" s="12" t="n">
        <x:v>46290</x:v>
      </x:c>
      <x:c r="D649" s="2" t="n">
        <x:v>1</x:v>
      </x:c>
      <x:c r="E649" s="2" t="str">
        <x:v>Online</x:v>
      </x:c>
      <x:c r="F649" s="14" t="n">
        <x:v>1420</x:v>
      </x:c>
      <x:c r="G649" s="2" t="str">
        <x:v>Simulated</x:v>
      </x:c>
    </x:row>
    <x:row r="650" ht="22" customHeight="1">
      <x:c r="A650" s="2" t="str">
        <x:v>BK-TC-06001-011</x:v>
      </x:c>
      <x:c r="B650" s="2" t="str">
        <x:v>TC-06001</x:v>
      </x:c>
      <x:c r="C650" s="12" t="n">
        <x:v>46231</x:v>
      </x:c>
      <x:c r="D650" s="2" t="n">
        <x:v>1</x:v>
      </x:c>
      <x:c r="E650" s="2" t="str">
        <x:v>Retail</x:v>
      </x:c>
      <x:c r="F650" s="14" t="n">
        <x:v>1420</x:v>
      </x:c>
      <x:c r="G650" s="2" t="str">
        <x:v>Simulated</x:v>
      </x:c>
    </x:row>
    <x:row r="651" ht="22" customHeight="1">
      <x:c r="A651" s="2" t="str">
        <x:v>BK-TC-06001-012</x:v>
      </x:c>
      <x:c r="B651" s="2" t="str">
        <x:v>TC-06001</x:v>
      </x:c>
      <x:c r="C651" s="12" t="n">
        <x:v>46237</x:v>
      </x:c>
      <x:c r="D651" s="2" t="n">
        <x:v>1</x:v>
      </x:c>
      <x:c r="E651" s="2" t="str">
        <x:v>Trade</x:v>
      </x:c>
      <x:c r="F651" s="14" t="n">
        <x:v>1420</x:v>
      </x:c>
      <x:c r="G651" s="2" t="str">
        <x:v>Simulated</x:v>
      </x:c>
    </x:row>
    <x:row r="652" ht="22" customHeight="1">
      <x:c r="A652" s="2" t="str">
        <x:v>BK-TC-06001-013</x:v>
      </x:c>
      <x:c r="B652" s="2" t="str">
        <x:v>TC-06001</x:v>
      </x:c>
      <x:c r="C652" s="12" t="n">
        <x:v>46182</x:v>
      </x:c>
      <x:c r="D652" s="2" t="n">
        <x:v>1</x:v>
      </x:c>
      <x:c r="E652" s="2" t="str">
        <x:v>Retail</x:v>
      </x:c>
      <x:c r="F652" s="14" t="n">
        <x:v>1420</x:v>
      </x:c>
      <x:c r="G652" s="2" t="str">
        <x:v>Simulated</x:v>
      </x:c>
    </x:row>
    <x:row r="653" ht="22" customHeight="1">
      <x:c r="A653" s="2" t="str">
        <x:v>BK-TC-06001-014</x:v>
      </x:c>
      <x:c r="B653" s="2" t="str">
        <x:v>TC-06001</x:v>
      </x:c>
      <x:c r="C653" s="12" t="n">
        <x:v>46291</x:v>
      </x:c>
      <x:c r="D653" s="2" t="n">
        <x:v>1</x:v>
      </x:c>
      <x:c r="E653" s="2" t="str">
        <x:v>Online</x:v>
      </x:c>
      <x:c r="F653" s="14" t="n">
        <x:v>1420</x:v>
      </x:c>
      <x:c r="G653" s="2" t="str">
        <x:v>Simulated</x:v>
      </x:c>
    </x:row>
    <x:row r="654" ht="22" customHeight="1">
      <x:c r="A654" s="2" t="str">
        <x:v>BK-TC-06001-015</x:v>
      </x:c>
      <x:c r="B654" s="2" t="str">
        <x:v>TC-06001</x:v>
      </x:c>
      <x:c r="C654" s="12" t="n">
        <x:v>46281</x:v>
      </x:c>
      <x:c r="D654" s="2" t="n">
        <x:v>1</x:v>
      </x:c>
      <x:c r="E654" s="2" t="str">
        <x:v>Retail</x:v>
      </x:c>
      <x:c r="F654" s="14" t="n">
        <x:v>1420</x:v>
      </x:c>
      <x:c r="G654" s="2" t="str">
        <x:v>Simulated</x:v>
      </x:c>
    </x:row>
    <x:row r="655" ht="22" customHeight="1">
      <x:c r="A655" s="2" t="str">
        <x:v>BK-TC-06001-016</x:v>
      </x:c>
      <x:c r="B655" s="2" t="str">
        <x:v>TC-06001</x:v>
      </x:c>
      <x:c r="C655" s="12" t="n">
        <x:v>46276</x:v>
      </x:c>
      <x:c r="D655" s="2" t="n">
        <x:v>1</x:v>
      </x:c>
      <x:c r="E655" s="2" t="str">
        <x:v>Retail</x:v>
      </x:c>
      <x:c r="F655" s="14" t="n">
        <x:v>1420</x:v>
      </x:c>
      <x:c r="G655" s="2" t="str">
        <x:v>Simulated</x:v>
      </x:c>
    </x:row>
    <x:row r="656" ht="22" customHeight="1">
      <x:c r="A656" s="2" t="str">
        <x:v>BK-TC-06001-017</x:v>
      </x:c>
      <x:c r="B656" s="2" t="str">
        <x:v>TC-06001</x:v>
      </x:c>
      <x:c r="C656" s="12" t="n">
        <x:v>46140</x:v>
      </x:c>
      <x:c r="D656" s="2" t="n">
        <x:v>1</x:v>
      </x:c>
      <x:c r="E656" s="2" t="str">
        <x:v>Online</x:v>
      </x:c>
      <x:c r="F656" s="14" t="n">
        <x:v>1420</x:v>
      </x:c>
      <x:c r="G656" s="2" t="str">
        <x:v>Simulated</x:v>
      </x:c>
    </x:row>
    <x:row r="657" ht="22" customHeight="1">
      <x:c r="A657" s="2" t="str">
        <x:v>BK-TC-06001-018</x:v>
      </x:c>
      <x:c r="B657" s="2" t="str">
        <x:v>TC-06001</x:v>
      </x:c>
      <x:c r="C657" s="12" t="n">
        <x:v>46136</x:v>
      </x:c>
      <x:c r="D657" s="2" t="n">
        <x:v>1</x:v>
      </x:c>
      <x:c r="E657" s="2" t="str">
        <x:v>Online</x:v>
      </x:c>
      <x:c r="F657" s="14" t="n">
        <x:v>1420</x:v>
      </x:c>
      <x:c r="G657" s="2" t="str">
        <x:v>Simulated</x:v>
      </x:c>
    </x:row>
    <x:row r="658" ht="22" customHeight="1">
      <x:c r="A658" s="2" t="str">
        <x:v>BK-TC-06001-019</x:v>
      </x:c>
      <x:c r="B658" s="2" t="str">
        <x:v>TC-06001</x:v>
      </x:c>
      <x:c r="C658" s="12" t="n">
        <x:v>46197</x:v>
      </x:c>
      <x:c r="D658" s="2" t="n">
        <x:v>1</x:v>
      </x:c>
      <x:c r="E658" s="2" t="str">
        <x:v>Online</x:v>
      </x:c>
      <x:c r="F658" s="14" t="n">
        <x:v>1420</x:v>
      </x:c>
      <x:c r="G658" s="2" t="str">
        <x:v>Simulated</x:v>
      </x:c>
    </x:row>
    <x:row r="659" ht="22" customHeight="1">
      <x:c r="A659" s="2" t="str">
        <x:v>BK-TC-06001-020</x:v>
      </x:c>
      <x:c r="B659" s="2" t="str">
        <x:v>TC-06001</x:v>
      </x:c>
      <x:c r="C659" s="12" t="n">
        <x:v>46271</x:v>
      </x:c>
      <x:c r="D659" s="2" t="n">
        <x:v>1</x:v>
      </x:c>
      <x:c r="E659" s="2" t="str">
        <x:v>Retail</x:v>
      </x:c>
      <x:c r="F659" s="14" t="n">
        <x:v>1420</x:v>
      </x:c>
      <x:c r="G659" s="2" t="str">
        <x:v>Simulated</x:v>
      </x:c>
    </x:row>
    <x:row r="660" ht="22" customHeight="1">
      <x:c r="A660" s="2" t="str">
        <x:v>BK-TC-06001-021</x:v>
      </x:c>
      <x:c r="B660" s="2" t="str">
        <x:v>TC-06001</x:v>
      </x:c>
      <x:c r="C660" s="12" t="n">
        <x:v>46191</x:v>
      </x:c>
      <x:c r="D660" s="2" t="n">
        <x:v>1</x:v>
      </x:c>
      <x:c r="E660" s="2" t="str">
        <x:v>Trade</x:v>
      </x:c>
      <x:c r="F660" s="14" t="n">
        <x:v>1420</x:v>
      </x:c>
      <x:c r="G660" s="2" t="str">
        <x:v>Simulated</x:v>
      </x:c>
    </x:row>
    <x:row r="661" ht="22" customHeight="1">
      <x:c r="A661" s="2" t="str">
        <x:v>BK-TC-06001-022</x:v>
      </x:c>
      <x:c r="B661" s="2" t="str">
        <x:v>TC-06001</x:v>
      </x:c>
      <x:c r="C661" s="12" t="n">
        <x:v>46221</x:v>
      </x:c>
      <x:c r="D661" s="2" t="n">
        <x:v>1</x:v>
      </x:c>
      <x:c r="E661" s="2" t="str">
        <x:v>Retail</x:v>
      </x:c>
      <x:c r="F661" s="14" t="n">
        <x:v>1420</x:v>
      </x:c>
      <x:c r="G661" s="2" t="str">
        <x:v>Simulated</x:v>
      </x:c>
    </x:row>
    <x:row r="662" ht="22" customHeight="1">
      <x:c r="A662" s="2" t="str">
        <x:v>BK-TC-06001-023</x:v>
      </x:c>
      <x:c r="B662" s="2" t="str">
        <x:v>TC-06001</x:v>
      </x:c>
      <x:c r="C662" s="12" t="n">
        <x:v>46122</x:v>
      </x:c>
      <x:c r="D662" s="2" t="n">
        <x:v>1</x:v>
      </x:c>
      <x:c r="E662" s="2" t="str">
        <x:v>Online</x:v>
      </x:c>
      <x:c r="F662" s="14" t="n">
        <x:v>1420</x:v>
      </x:c>
      <x:c r="G662" s="2" t="str">
        <x:v>Simulated</x:v>
      </x:c>
    </x:row>
    <x:row r="663" ht="22" customHeight="1">
      <x:c r="A663" s="2" t="str">
        <x:v>BK-TC-06002-001</x:v>
      </x:c>
      <x:c r="B663" s="2" t="str">
        <x:v>TC-06002</x:v>
      </x:c>
      <x:c r="C663" s="12" t="n">
        <x:v>46265</x:v>
      </x:c>
      <x:c r="D663" s="2" t="n">
        <x:v>1</x:v>
      </x:c>
      <x:c r="E663" s="2" t="str">
        <x:v>Retail</x:v>
      </x:c>
      <x:c r="F663" s="14" t="n">
        <x:v>1420</x:v>
      </x:c>
      <x:c r="G663" s="2" t="str">
        <x:v>Simulated</x:v>
      </x:c>
    </x:row>
    <x:row r="664" ht="22" customHeight="1">
      <x:c r="A664" s="2" t="str">
        <x:v>BK-TC-06002-002</x:v>
      </x:c>
      <x:c r="B664" s="2" t="str">
        <x:v>TC-06002</x:v>
      </x:c>
      <x:c r="C664" s="12" t="n">
        <x:v>46255</x:v>
      </x:c>
      <x:c r="D664" s="2" t="n">
        <x:v>1</x:v>
      </x:c>
      <x:c r="E664" s="2" t="str">
        <x:v>Online</x:v>
      </x:c>
      <x:c r="F664" s="14" t="n">
        <x:v>1420</x:v>
      </x:c>
      <x:c r="G664" s="2" t="str">
        <x:v>Simulated</x:v>
      </x:c>
    </x:row>
    <x:row r="665" ht="22" customHeight="1">
      <x:c r="A665" s="2" t="str">
        <x:v>BK-TC-06002-003</x:v>
      </x:c>
      <x:c r="B665" s="2" t="str">
        <x:v>TC-06002</x:v>
      </x:c>
      <x:c r="C665" s="12" t="n">
        <x:v>46287</x:v>
      </x:c>
      <x:c r="D665" s="2" t="n">
        <x:v>1</x:v>
      </x:c>
      <x:c r="E665" s="2" t="str">
        <x:v>Online</x:v>
      </x:c>
      <x:c r="F665" s="14" t="n">
        <x:v>1420</x:v>
      </x:c>
      <x:c r="G665" s="2" t="str">
        <x:v>Simulated</x:v>
      </x:c>
    </x:row>
    <x:row r="666" ht="22" customHeight="1">
      <x:c r="A666" s="2" t="str">
        <x:v>BK-TC-06002-004</x:v>
      </x:c>
      <x:c r="B666" s="2" t="str">
        <x:v>TC-06002</x:v>
      </x:c>
      <x:c r="C666" s="12" t="n">
        <x:v>46174</x:v>
      </x:c>
      <x:c r="D666" s="2" t="n">
        <x:v>1</x:v>
      </x:c>
      <x:c r="E666" s="2" t="str">
        <x:v>Retail</x:v>
      </x:c>
      <x:c r="F666" s="14" t="n">
        <x:v>1420</x:v>
      </x:c>
      <x:c r="G666" s="2" t="str">
        <x:v>Simulated</x:v>
      </x:c>
    </x:row>
    <x:row r="667" ht="22" customHeight="1">
      <x:c r="A667" s="2" t="str">
        <x:v>BK-TC-06002-005</x:v>
      </x:c>
      <x:c r="B667" s="2" t="str">
        <x:v>TC-06002</x:v>
      </x:c>
      <x:c r="C667" s="12" t="n">
        <x:v>46150</x:v>
      </x:c>
      <x:c r="D667" s="2" t="n">
        <x:v>1</x:v>
      </x:c>
      <x:c r="E667" s="2" t="str">
        <x:v>Retail</x:v>
      </x:c>
      <x:c r="F667" s="14" t="n">
        <x:v>1420</x:v>
      </x:c>
      <x:c r="G667" s="2" t="str">
        <x:v>Simulated</x:v>
      </x:c>
    </x:row>
    <x:row r="668" ht="22" customHeight="1">
      <x:c r="A668" s="2" t="str">
        <x:v>BK-TC-06002-006</x:v>
      </x:c>
      <x:c r="B668" s="2" t="str">
        <x:v>TC-06002</x:v>
      </x:c>
      <x:c r="C668" s="12" t="n">
        <x:v>46209</x:v>
      </x:c>
      <x:c r="D668" s="2" t="n">
        <x:v>1</x:v>
      </x:c>
      <x:c r="E668" s="2" t="str">
        <x:v>Retail</x:v>
      </x:c>
      <x:c r="F668" s="14" t="n">
        <x:v>1420</x:v>
      </x:c>
      <x:c r="G668" s="2" t="str">
        <x:v>Simulated</x:v>
      </x:c>
    </x:row>
    <x:row r="669" ht="22" customHeight="1">
      <x:c r="A669" s="2" t="str">
        <x:v>BK-TC-06002-007</x:v>
      </x:c>
      <x:c r="B669" s="2" t="str">
        <x:v>TC-06002</x:v>
      </x:c>
      <x:c r="C669" s="12" t="n">
        <x:v>46280</x:v>
      </x:c>
      <x:c r="D669" s="2" t="n">
        <x:v>1</x:v>
      </x:c>
      <x:c r="E669" s="2" t="str">
        <x:v>Online</x:v>
      </x:c>
      <x:c r="F669" s="14" t="n">
        <x:v>1420</x:v>
      </x:c>
      <x:c r="G669" s="2" t="str">
        <x:v>Simulated</x:v>
      </x:c>
    </x:row>
    <x:row r="670" ht="22" customHeight="1">
      <x:c r="A670" s="2" t="str">
        <x:v>BK-TC-06002-008</x:v>
      </x:c>
      <x:c r="B670" s="2" t="str">
        <x:v>TC-06002</x:v>
      </x:c>
      <x:c r="C670" s="12" t="n">
        <x:v>46184</x:v>
      </x:c>
      <x:c r="D670" s="2" t="n">
        <x:v>1</x:v>
      </x:c>
      <x:c r="E670" s="2" t="str">
        <x:v>Online</x:v>
      </x:c>
      <x:c r="F670" s="14" t="n">
        <x:v>1420</x:v>
      </x:c>
      <x:c r="G670" s="2" t="str">
        <x:v>Simulated</x:v>
      </x:c>
    </x:row>
    <x:row r="671" ht="22" customHeight="1">
      <x:c r="A671" s="2" t="str">
        <x:v>BK-TC-06002-009</x:v>
      </x:c>
      <x:c r="B671" s="2" t="str">
        <x:v>TC-06002</x:v>
      </x:c>
      <x:c r="C671" s="12" t="n">
        <x:v>46286</x:v>
      </x:c>
      <x:c r="D671" s="2" t="n">
        <x:v>1</x:v>
      </x:c>
      <x:c r="E671" s="2" t="str">
        <x:v>Retail</x:v>
      </x:c>
      <x:c r="F671" s="14" t="n">
        <x:v>1420</x:v>
      </x:c>
      <x:c r="G671" s="2" t="str">
        <x:v>Simulated</x:v>
      </x:c>
    </x:row>
    <x:row r="672" ht="22" customHeight="1">
      <x:c r="A672" s="2" t="str">
        <x:v>BK-TC-06002-010</x:v>
      </x:c>
      <x:c r="B672" s="2" t="str">
        <x:v>TC-06002</x:v>
      </x:c>
      <x:c r="C672" s="12" t="n">
        <x:v>46221</x:v>
      </x:c>
      <x:c r="D672" s="2" t="n">
        <x:v>1</x:v>
      </x:c>
      <x:c r="E672" s="2" t="str">
        <x:v>Trade</x:v>
      </x:c>
      <x:c r="F672" s="14" t="n">
        <x:v>1420</x:v>
      </x:c>
      <x:c r="G672" s="2" t="str">
        <x:v>Simulated</x:v>
      </x:c>
    </x:row>
    <x:row r="673" ht="22" customHeight="1">
      <x:c r="A673" s="2" t="str">
        <x:v>BK-TC-06002-011</x:v>
      </x:c>
      <x:c r="B673" s="2" t="str">
        <x:v>TC-06002</x:v>
      </x:c>
      <x:c r="C673" s="12" t="n">
        <x:v>46282</x:v>
      </x:c>
      <x:c r="D673" s="2" t="n">
        <x:v>1</x:v>
      </x:c>
      <x:c r="E673" s="2" t="str">
        <x:v>Online</x:v>
      </x:c>
      <x:c r="F673" s="14" t="n">
        <x:v>1420</x:v>
      </x:c>
      <x:c r="G673" s="2" t="str">
        <x:v>Simulated</x:v>
      </x:c>
    </x:row>
    <x:row r="674" ht="22" customHeight="1">
      <x:c r="A674" s="2" t="str">
        <x:v>BK-TC-06002-012</x:v>
      </x:c>
      <x:c r="B674" s="2" t="str">
        <x:v>TC-06002</x:v>
      </x:c>
      <x:c r="C674" s="12" t="n">
        <x:v>46143</x:v>
      </x:c>
      <x:c r="D674" s="2" t="n">
        <x:v>1</x:v>
      </x:c>
      <x:c r="E674" s="2" t="str">
        <x:v>Retail</x:v>
      </x:c>
      <x:c r="F674" s="14" t="n">
        <x:v>1420</x:v>
      </x:c>
      <x:c r="G674" s="2" t="str">
        <x:v>Simulated</x:v>
      </x:c>
    </x:row>
    <x:row r="675" ht="22" customHeight="1">
      <x:c r="A675" s="2" t="str">
        <x:v>BK-TC-06002-013</x:v>
      </x:c>
      <x:c r="B675" s="2" t="str">
        <x:v>TC-06002</x:v>
      </x:c>
      <x:c r="C675" s="12" t="n">
        <x:v>46169</x:v>
      </x:c>
      <x:c r="D675" s="2" t="n">
        <x:v>1</x:v>
      </x:c>
      <x:c r="E675" s="2" t="str">
        <x:v>Trade</x:v>
      </x:c>
      <x:c r="F675" s="14" t="n">
        <x:v>1420</x:v>
      </x:c>
      <x:c r="G675" s="2" t="str">
        <x:v>Simulated</x:v>
      </x:c>
    </x:row>
    <x:row r="676" ht="22" customHeight="1">
      <x:c r="A676" s="2" t="str">
        <x:v>BK-TC-06002-014</x:v>
      </x:c>
      <x:c r="B676" s="2" t="str">
        <x:v>TC-06002</x:v>
      </x:c>
      <x:c r="C676" s="12" t="n">
        <x:v>46160</x:v>
      </x:c>
      <x:c r="D676" s="2" t="n">
        <x:v>1</x:v>
      </x:c>
      <x:c r="E676" s="2" t="str">
        <x:v>Online</x:v>
      </x:c>
      <x:c r="F676" s="14" t="n">
        <x:v>1420</x:v>
      </x:c>
      <x:c r="G676" s="2" t="str">
        <x:v>Simulated</x:v>
      </x:c>
    </x:row>
    <x:row r="677" ht="22" customHeight="1">
      <x:c r="A677" s="2" t="str">
        <x:v>BK-TC-06002-015</x:v>
      </x:c>
      <x:c r="B677" s="2" t="str">
        <x:v>TC-06002</x:v>
      </x:c>
      <x:c r="C677" s="12" t="n">
        <x:v>46202</x:v>
      </x:c>
      <x:c r="D677" s="2" t="n">
        <x:v>1</x:v>
      </x:c>
      <x:c r="E677" s="2" t="str">
        <x:v>Trade</x:v>
      </x:c>
      <x:c r="F677" s="14" t="n">
        <x:v>1420</x:v>
      </x:c>
      <x:c r="G677" s="2" t="str">
        <x:v>Simulated</x:v>
      </x:c>
    </x:row>
    <x:row r="678" ht="22" customHeight="1">
      <x:c r="A678" s="2" t="str">
        <x:v>BK-TC-06002-016</x:v>
      </x:c>
      <x:c r="B678" s="2" t="str">
        <x:v>TC-06002</x:v>
      </x:c>
      <x:c r="C678" s="12" t="n">
        <x:v>46150</x:v>
      </x:c>
      <x:c r="D678" s="2" t="n">
        <x:v>1</x:v>
      </x:c>
      <x:c r="E678" s="2" t="str">
        <x:v>Online</x:v>
      </x:c>
      <x:c r="F678" s="14" t="n">
        <x:v>1420</x:v>
      </x:c>
      <x:c r="G678" s="2" t="str">
        <x:v>Simulated</x:v>
      </x:c>
    </x:row>
    <x:row r="679" ht="22" customHeight="1">
      <x:c r="A679" s="2" t="str">
        <x:v>BK-TC-06002-017</x:v>
      </x:c>
      <x:c r="B679" s="2" t="str">
        <x:v>TC-06002</x:v>
      </x:c>
      <x:c r="C679" s="12" t="n">
        <x:v>46232</x:v>
      </x:c>
      <x:c r="D679" s="2" t="n">
        <x:v>1</x:v>
      </x:c>
      <x:c r="E679" s="2" t="str">
        <x:v>Retail</x:v>
      </x:c>
      <x:c r="F679" s="14" t="n">
        <x:v>1420</x:v>
      </x:c>
      <x:c r="G679" s="2" t="str">
        <x:v>Simulated</x:v>
      </x:c>
    </x:row>
    <x:row r="680" ht="22" customHeight="1">
      <x:c r="A680" s="2" t="str">
        <x:v>BK-TC-06002-018</x:v>
      </x:c>
      <x:c r="B680" s="2" t="str">
        <x:v>TC-06002</x:v>
      </x:c>
      <x:c r="C680" s="12" t="n">
        <x:v>46226</x:v>
      </x:c>
      <x:c r="D680" s="2" t="n">
        <x:v>1</x:v>
      </x:c>
      <x:c r="E680" s="2" t="str">
        <x:v>Online</x:v>
      </x:c>
      <x:c r="F680" s="14" t="n">
        <x:v>1420</x:v>
      </x:c>
      <x:c r="G680" s="2" t="str">
        <x:v>Simulated</x:v>
      </x:c>
    </x:row>
    <x:row r="681" ht="22" customHeight="1">
      <x:c r="A681" s="2" t="str">
        <x:v>BK-TC-06002-019</x:v>
      </x:c>
      <x:c r="B681" s="2" t="str">
        <x:v>TC-06002</x:v>
      </x:c>
      <x:c r="C681" s="12" t="n">
        <x:v>46186</x:v>
      </x:c>
      <x:c r="D681" s="2" t="n">
        <x:v>1</x:v>
      </x:c>
      <x:c r="E681" s="2" t="str">
        <x:v>Online</x:v>
      </x:c>
      <x:c r="F681" s="14" t="n">
        <x:v>1420</x:v>
      </x:c>
      <x:c r="G681" s="2" t="str">
        <x:v>Simulated</x:v>
      </x:c>
    </x:row>
    <x:row r="682" ht="22" customHeight="1">
      <x:c r="A682" s="2" t="str">
        <x:v>BK-TC-06003-001</x:v>
      </x:c>
      <x:c r="B682" s="2" t="str">
        <x:v>TC-06003</x:v>
      </x:c>
      <x:c r="C682" s="12" t="n">
        <x:v>46176</x:v>
      </x:c>
      <x:c r="D682" s="2" t="n">
        <x:v>1</x:v>
      </x:c>
      <x:c r="E682" s="2" t="str">
        <x:v>Retail</x:v>
      </x:c>
      <x:c r="F682" s="14" t="n">
        <x:v>1420</x:v>
      </x:c>
      <x:c r="G682" s="2" t="str">
        <x:v>Simulated</x:v>
      </x:c>
    </x:row>
    <x:row r="683" ht="22" customHeight="1">
      <x:c r="A683" s="2" t="str">
        <x:v>BK-TC-06003-002</x:v>
      </x:c>
      <x:c r="B683" s="2" t="str">
        <x:v>TC-06003</x:v>
      </x:c>
      <x:c r="C683" s="12" t="n">
        <x:v>46175</x:v>
      </x:c>
      <x:c r="D683" s="2" t="n">
        <x:v>1</x:v>
      </x:c>
      <x:c r="E683" s="2" t="str">
        <x:v>Trade</x:v>
      </x:c>
      <x:c r="F683" s="14" t="n">
        <x:v>1420</x:v>
      </x:c>
      <x:c r="G683" s="2" t="str">
        <x:v>Simulated</x:v>
      </x:c>
    </x:row>
    <x:row r="684" ht="22" customHeight="1">
      <x:c r="A684" s="2" t="str">
        <x:v>BK-TC-06003-003</x:v>
      </x:c>
      <x:c r="B684" s="2" t="str">
        <x:v>TC-06003</x:v>
      </x:c>
      <x:c r="C684" s="12" t="n">
        <x:v>46239</x:v>
      </x:c>
      <x:c r="D684" s="2" t="n">
        <x:v>1</x:v>
      </x:c>
      <x:c r="E684" s="2" t="str">
        <x:v>Online</x:v>
      </x:c>
      <x:c r="F684" s="14" t="n">
        <x:v>1420</x:v>
      </x:c>
      <x:c r="G684" s="2" t="str">
        <x:v>Simulated</x:v>
      </x:c>
    </x:row>
    <x:row r="685" ht="22" customHeight="1">
      <x:c r="A685" s="2" t="str">
        <x:v>BK-TC-06003-004</x:v>
      </x:c>
      <x:c r="B685" s="2" t="str">
        <x:v>TC-06003</x:v>
      </x:c>
      <x:c r="C685" s="12" t="n">
        <x:v>46169</x:v>
      </x:c>
      <x:c r="D685" s="2" t="n">
        <x:v>1</x:v>
      </x:c>
      <x:c r="E685" s="2" t="str">
        <x:v>Retail</x:v>
      </x:c>
      <x:c r="F685" s="14" t="n">
        <x:v>1420</x:v>
      </x:c>
      <x:c r="G685" s="2" t="str">
        <x:v>Simulated</x:v>
      </x:c>
    </x:row>
    <x:row r="686" ht="22" customHeight="1">
      <x:c r="A686" s="2" t="str">
        <x:v>BK-TC-06003-005</x:v>
      </x:c>
      <x:c r="B686" s="2" t="str">
        <x:v>TC-06003</x:v>
      </x:c>
      <x:c r="C686" s="12" t="n">
        <x:v>46243</x:v>
      </x:c>
      <x:c r="D686" s="2" t="n">
        <x:v>1</x:v>
      </x:c>
      <x:c r="E686" s="2" t="str">
        <x:v>Trade</x:v>
      </x:c>
      <x:c r="F686" s="14" t="n">
        <x:v>1420</x:v>
      </x:c>
      <x:c r="G686" s="2" t="str">
        <x:v>Simulated</x:v>
      </x:c>
    </x:row>
    <x:row r="687" ht="22" customHeight="1">
      <x:c r="A687" s="2" t="str">
        <x:v>BK-TC-06003-006</x:v>
      </x:c>
      <x:c r="B687" s="2" t="str">
        <x:v>TC-06003</x:v>
      </x:c>
      <x:c r="C687" s="12" t="n">
        <x:v>46163</x:v>
      </x:c>
      <x:c r="D687" s="2" t="n">
        <x:v>1</x:v>
      </x:c>
      <x:c r="E687" s="2" t="str">
        <x:v>Trade</x:v>
      </x:c>
      <x:c r="F687" s="14" t="n">
        <x:v>1420</x:v>
      </x:c>
      <x:c r="G687" s="2" t="str">
        <x:v>Simulated</x:v>
      </x:c>
    </x:row>
    <x:row r="688" ht="22" customHeight="1">
      <x:c r="A688" s="2" t="str">
        <x:v>BK-TC-06003-007</x:v>
      </x:c>
      <x:c r="B688" s="2" t="str">
        <x:v>TC-06003</x:v>
      </x:c>
      <x:c r="C688" s="12" t="n">
        <x:v>46243</x:v>
      </x:c>
      <x:c r="D688" s="2" t="n">
        <x:v>1</x:v>
      </x:c>
      <x:c r="E688" s="2" t="str">
        <x:v>Retail</x:v>
      </x:c>
      <x:c r="F688" s="14" t="n">
        <x:v>1420</x:v>
      </x:c>
      <x:c r="G688" s="2" t="str">
        <x:v>Simulated</x:v>
      </x:c>
    </x:row>
    <x:row r="689" ht="22" customHeight="1">
      <x:c r="A689" s="2" t="str">
        <x:v>BK-TC-06003-008</x:v>
      </x:c>
      <x:c r="B689" s="2" t="str">
        <x:v>TC-06003</x:v>
      </x:c>
      <x:c r="C689" s="12" t="n">
        <x:v>46177</x:v>
      </x:c>
      <x:c r="D689" s="2" t="n">
        <x:v>1</x:v>
      </x:c>
      <x:c r="E689" s="2" t="str">
        <x:v>Retail</x:v>
      </x:c>
      <x:c r="F689" s="14" t="n">
        <x:v>1420</x:v>
      </x:c>
      <x:c r="G689" s="2" t="str">
        <x:v>Simulated</x:v>
      </x:c>
    </x:row>
    <x:row r="690" ht="22" customHeight="1">
      <x:c r="A690" s="2" t="str">
        <x:v>BK-TC-06003-009</x:v>
      </x:c>
      <x:c r="B690" s="2" t="str">
        <x:v>TC-06003</x:v>
      </x:c>
      <x:c r="C690" s="12" t="n">
        <x:v>46232</x:v>
      </x:c>
      <x:c r="D690" s="2" t="n">
        <x:v>1</x:v>
      </x:c>
      <x:c r="E690" s="2" t="str">
        <x:v>Retail</x:v>
      </x:c>
      <x:c r="F690" s="14" t="n">
        <x:v>1420</x:v>
      </x:c>
      <x:c r="G690" s="2" t="str">
        <x:v>Simulated</x:v>
      </x:c>
    </x:row>
    <x:row r="691" ht="22" customHeight="1">
      <x:c r="A691" s="2" t="str">
        <x:v>BK-TC-06003-010</x:v>
      </x:c>
      <x:c r="B691" s="2" t="str">
        <x:v>TC-06003</x:v>
      </x:c>
      <x:c r="C691" s="12" t="n">
        <x:v>46185</x:v>
      </x:c>
      <x:c r="D691" s="2" t="n">
        <x:v>1</x:v>
      </x:c>
      <x:c r="E691" s="2" t="str">
        <x:v>Trade</x:v>
      </x:c>
      <x:c r="F691" s="14" t="n">
        <x:v>1420</x:v>
      </x:c>
      <x:c r="G691" s="2" t="str">
        <x:v>Simulated</x:v>
      </x:c>
    </x:row>
    <x:row r="692" ht="22" customHeight="1">
      <x:c r="A692" s="2" t="str">
        <x:v>BK-TC-06003-011</x:v>
      </x:c>
      <x:c r="B692" s="2" t="str">
        <x:v>TC-06003</x:v>
      </x:c>
      <x:c r="C692" s="12" t="n">
        <x:v>46242</x:v>
      </x:c>
      <x:c r="D692" s="2" t="n">
        <x:v>1</x:v>
      </x:c>
      <x:c r="E692" s="2" t="str">
        <x:v>Online</x:v>
      </x:c>
      <x:c r="F692" s="14" t="n">
        <x:v>1420</x:v>
      </x:c>
      <x:c r="G692" s="2" t="str">
        <x:v>Simulated</x:v>
      </x:c>
    </x:row>
    <x:row r="693" ht="22" customHeight="1">
      <x:c r="A693" s="2" t="str">
        <x:v>BK-TC-06003-012</x:v>
      </x:c>
      <x:c r="B693" s="2" t="str">
        <x:v>TC-06003</x:v>
      </x:c>
      <x:c r="C693" s="12" t="n">
        <x:v>46192</x:v>
      </x:c>
      <x:c r="D693" s="2" t="n">
        <x:v>1</x:v>
      </x:c>
      <x:c r="E693" s="2" t="str">
        <x:v>Online</x:v>
      </x:c>
      <x:c r="F693" s="14" t="n">
        <x:v>1420</x:v>
      </x:c>
      <x:c r="G693" s="2" t="str">
        <x:v>Simulated</x:v>
      </x:c>
    </x:row>
    <x:row r="694" ht="22" customHeight="1">
      <x:c r="A694" s="2" t="str">
        <x:v>BK-TC-06003-013</x:v>
      </x:c>
      <x:c r="B694" s="2" t="str">
        <x:v>TC-06003</x:v>
      </x:c>
      <x:c r="C694" s="12" t="n">
        <x:v>46283</x:v>
      </x:c>
      <x:c r="D694" s="2" t="n">
        <x:v>1</x:v>
      </x:c>
      <x:c r="E694" s="2" t="str">
        <x:v>Trade</x:v>
      </x:c>
      <x:c r="F694" s="14" t="n">
        <x:v>1420</x:v>
      </x:c>
      <x:c r="G694" s="2" t="str">
        <x:v>Simulated</x:v>
      </x:c>
    </x:row>
    <x:row r="695" ht="22" customHeight="1">
      <x:c r="A695" s="2" t="str">
        <x:v>BK-TC-06003-014</x:v>
      </x:c>
      <x:c r="B695" s="2" t="str">
        <x:v>TC-06003</x:v>
      </x:c>
      <x:c r="C695" s="12" t="n">
        <x:v>46213</x:v>
      </x:c>
      <x:c r="D695" s="2" t="n">
        <x:v>1</x:v>
      </x:c>
      <x:c r="E695" s="2" t="str">
        <x:v>Online</x:v>
      </x:c>
      <x:c r="F695" s="14" t="n">
        <x:v>1420</x:v>
      </x:c>
      <x:c r="G695" s="2" t="str">
        <x:v>Simulated</x:v>
      </x:c>
    </x:row>
    <x:row r="696" ht="22" customHeight="1">
      <x:c r="A696" s="2" t="str">
        <x:v>BK-TC-06003-015</x:v>
      </x:c>
      <x:c r="B696" s="2" t="str">
        <x:v>TC-06003</x:v>
      </x:c>
      <x:c r="C696" s="12" t="n">
        <x:v>46256</x:v>
      </x:c>
      <x:c r="D696" s="2" t="n">
        <x:v>1</x:v>
      </x:c>
      <x:c r="E696" s="2" t="str">
        <x:v>Trade</x:v>
      </x:c>
      <x:c r="F696" s="14" t="n">
        <x:v>1420</x:v>
      </x:c>
      <x:c r="G696" s="2" t="str">
        <x:v>Simulated</x:v>
      </x:c>
    </x:row>
    <x:row r="697" ht="22" customHeight="1">
      <x:c r="A697" s="2" t="str">
        <x:v>BK-TC-06003-016</x:v>
      </x:c>
      <x:c r="B697" s="2" t="str">
        <x:v>TC-06003</x:v>
      </x:c>
      <x:c r="C697" s="12" t="n">
        <x:v>46299</x:v>
      </x:c>
      <x:c r="D697" s="2" t="n">
        <x:v>1</x:v>
      </x:c>
      <x:c r="E697" s="2" t="str">
        <x:v>Retail</x:v>
      </x:c>
      <x:c r="F697" s="14" t="n">
        <x:v>1420</x:v>
      </x:c>
      <x:c r="G697" s="2" t="str">
        <x:v>Simulated</x:v>
      </x:c>
    </x:row>
    <x:row r="698" ht="22" customHeight="1">
      <x:c r="A698" s="2" t="str">
        <x:v>BK-TC-06003-017</x:v>
      </x:c>
      <x:c r="B698" s="2" t="str">
        <x:v>TC-06003</x:v>
      </x:c>
      <x:c r="C698" s="12" t="n">
        <x:v>46210</x:v>
      </x:c>
      <x:c r="D698" s="2" t="n">
        <x:v>1</x:v>
      </x:c>
      <x:c r="E698" s="2" t="str">
        <x:v>Trade</x:v>
      </x:c>
      <x:c r="F698" s="14" t="n">
        <x:v>1420</x:v>
      </x:c>
      <x:c r="G698" s="2" t="str">
        <x:v>Simulated</x:v>
      </x:c>
    </x:row>
    <x:row r="699" ht="22" customHeight="1">
      <x:c r="A699" s="2" t="str">
        <x:v>BK-TC-06003-018</x:v>
      </x:c>
      <x:c r="B699" s="2" t="str">
        <x:v>TC-06003</x:v>
      </x:c>
      <x:c r="C699" s="12" t="n">
        <x:v>46234</x:v>
      </x:c>
      <x:c r="D699" s="2" t="n">
        <x:v>1</x:v>
      </x:c>
      <x:c r="E699" s="2" t="str">
        <x:v>Retail</x:v>
      </x:c>
      <x:c r="F699" s="14" t="n">
        <x:v>1420</x:v>
      </x:c>
      <x:c r="G699" s="2" t="str">
        <x:v>Simulated</x:v>
      </x:c>
    </x:row>
    <x:row r="700" ht="22" customHeight="1">
      <x:c r="A700" s="2" t="str">
        <x:v>BK-TC-06003-019</x:v>
      </x:c>
      <x:c r="B700" s="2" t="str">
        <x:v>TC-06003</x:v>
      </x:c>
      <x:c r="C700" s="12" t="n">
        <x:v>46273</x:v>
      </x:c>
      <x:c r="D700" s="2" t="n">
        <x:v>1</x:v>
      </x:c>
      <x:c r="E700" s="2" t="str">
        <x:v>Online</x:v>
      </x:c>
      <x:c r="F700" s="14" t="n">
        <x:v>1420</x:v>
      </x:c>
      <x:c r="G700" s="2" t="str">
        <x:v>Simulated</x:v>
      </x:c>
    </x:row>
    <x:row r="701" ht="22" customHeight="1">
      <x:c r="A701" s="2" t="str">
        <x:v>BK-TC-06003-020</x:v>
      </x:c>
      <x:c r="B701" s="2" t="str">
        <x:v>TC-06003</x:v>
      </x:c>
      <x:c r="C701" s="12" t="n">
        <x:v>46217</x:v>
      </x:c>
      <x:c r="D701" s="2" t="n">
        <x:v>1</x:v>
      </x:c>
      <x:c r="E701" s="2" t="str">
        <x:v>Trade</x:v>
      </x:c>
      <x:c r="F701" s="14" t="n">
        <x:v>1420</x:v>
      </x:c>
      <x:c r="G701" s="2" t="str">
        <x:v>Simulated</x:v>
      </x:c>
    </x:row>
    <x:row r="702" ht="22" customHeight="1">
      <x:c r="A702" s="2" t="str">
        <x:v>BK-TC-06004-001</x:v>
      </x:c>
      <x:c r="B702" s="2" t="str">
        <x:v>TC-06004</x:v>
      </x:c>
      <x:c r="C702" s="12" t="n">
        <x:v>46278</x:v>
      </x:c>
      <x:c r="D702" s="2" t="n">
        <x:v>1</x:v>
      </x:c>
      <x:c r="E702" s="2" t="str">
        <x:v>Online</x:v>
      </x:c>
      <x:c r="F702" s="14" t="n">
        <x:v>1420</x:v>
      </x:c>
      <x:c r="G702" s="2" t="str">
        <x:v>Simulated</x:v>
      </x:c>
    </x:row>
    <x:row r="703" ht="22" customHeight="1">
      <x:c r="A703" s="2" t="str">
        <x:v>BK-TC-06004-002</x:v>
      </x:c>
      <x:c r="B703" s="2" t="str">
        <x:v>TC-06004</x:v>
      </x:c>
      <x:c r="C703" s="12" t="n">
        <x:v>46221</x:v>
      </x:c>
      <x:c r="D703" s="2" t="n">
        <x:v>1</x:v>
      </x:c>
      <x:c r="E703" s="2" t="str">
        <x:v>Retail</x:v>
      </x:c>
      <x:c r="F703" s="14" t="n">
        <x:v>1420</x:v>
      </x:c>
      <x:c r="G703" s="2" t="str">
        <x:v>Simulated</x:v>
      </x:c>
    </x:row>
    <x:row r="704" ht="22" customHeight="1">
      <x:c r="A704" s="2" t="str">
        <x:v>BK-TC-06004-003</x:v>
      </x:c>
      <x:c r="B704" s="2" t="str">
        <x:v>TC-06004</x:v>
      </x:c>
      <x:c r="C704" s="12" t="n">
        <x:v>46235</x:v>
      </x:c>
      <x:c r="D704" s="2" t="n">
        <x:v>1</x:v>
      </x:c>
      <x:c r="E704" s="2" t="str">
        <x:v>Retail</x:v>
      </x:c>
      <x:c r="F704" s="14" t="n">
        <x:v>1420</x:v>
      </x:c>
      <x:c r="G704" s="2" t="str">
        <x:v>Simulated</x:v>
      </x:c>
    </x:row>
    <x:row r="705" ht="22" customHeight="1">
      <x:c r="A705" s="2" t="str">
        <x:v>BK-TC-06004-004</x:v>
      </x:c>
      <x:c r="B705" s="2" t="str">
        <x:v>TC-06004</x:v>
      </x:c>
      <x:c r="C705" s="12" t="n">
        <x:v>46207</x:v>
      </x:c>
      <x:c r="D705" s="2" t="n">
        <x:v>1</x:v>
      </x:c>
      <x:c r="E705" s="2" t="str">
        <x:v>Retail</x:v>
      </x:c>
      <x:c r="F705" s="14" t="n">
        <x:v>1420</x:v>
      </x:c>
      <x:c r="G705" s="2" t="str">
        <x:v>Simulated</x:v>
      </x:c>
    </x:row>
    <x:row r="706" ht="22" customHeight="1">
      <x:c r="A706" s="2" t="str">
        <x:v>BK-TC-06004-005</x:v>
      </x:c>
      <x:c r="B706" s="2" t="str">
        <x:v>TC-06004</x:v>
      </x:c>
      <x:c r="C706" s="12" t="n">
        <x:v>46197</x:v>
      </x:c>
      <x:c r="D706" s="2" t="n">
        <x:v>1</x:v>
      </x:c>
      <x:c r="E706" s="2" t="str">
        <x:v>Trade</x:v>
      </x:c>
      <x:c r="F706" s="14" t="n">
        <x:v>1420</x:v>
      </x:c>
      <x:c r="G706" s="2" t="str">
        <x:v>Simulated</x:v>
      </x:c>
    </x:row>
    <x:row r="707" ht="22" customHeight="1">
      <x:c r="A707" s="2" t="str">
        <x:v>BK-TC-06004-006</x:v>
      </x:c>
      <x:c r="B707" s="2" t="str">
        <x:v>TC-06004</x:v>
      </x:c>
      <x:c r="C707" s="12" t="n">
        <x:v>46227</x:v>
      </x:c>
      <x:c r="D707" s="2" t="n">
        <x:v>1</x:v>
      </x:c>
      <x:c r="E707" s="2" t="str">
        <x:v>Trade</x:v>
      </x:c>
      <x:c r="F707" s="14" t="n">
        <x:v>1420</x:v>
      </x:c>
      <x:c r="G707" s="2" t="str">
        <x:v>Simulated</x:v>
      </x:c>
    </x:row>
    <x:row r="708" ht="22" customHeight="1">
      <x:c r="A708" s="2" t="str">
        <x:v>BK-TC-06004-007</x:v>
      </x:c>
      <x:c r="B708" s="2" t="str">
        <x:v>TC-06004</x:v>
      </x:c>
      <x:c r="C708" s="12" t="n">
        <x:v>46233</x:v>
      </x:c>
      <x:c r="D708" s="2" t="n">
        <x:v>1</x:v>
      </x:c>
      <x:c r="E708" s="2" t="str">
        <x:v>Trade</x:v>
      </x:c>
      <x:c r="F708" s="14" t="n">
        <x:v>1420</x:v>
      </x:c>
      <x:c r="G708" s="2" t="str">
        <x:v>Simulated</x:v>
      </x:c>
    </x:row>
    <x:row r="709" ht="22" customHeight="1">
      <x:c r="A709" s="2" t="str">
        <x:v>BK-TC-06004-008</x:v>
      </x:c>
      <x:c r="B709" s="2" t="str">
        <x:v>TC-06004</x:v>
      </x:c>
      <x:c r="C709" s="12" t="n">
        <x:v>46261</x:v>
      </x:c>
      <x:c r="D709" s="2" t="n">
        <x:v>1</x:v>
      </x:c>
      <x:c r="E709" s="2" t="str">
        <x:v>Retail</x:v>
      </x:c>
      <x:c r="F709" s="14" t="n">
        <x:v>1420</x:v>
      </x:c>
      <x:c r="G709" s="2" t="str">
        <x:v>Simulated</x:v>
      </x:c>
    </x:row>
    <x:row r="710" ht="22" customHeight="1">
      <x:c r="A710" s="2" t="str">
        <x:v>BK-TC-06004-009</x:v>
      </x:c>
      <x:c r="B710" s="2" t="str">
        <x:v>TC-06004</x:v>
      </x:c>
      <x:c r="C710" s="12" t="n">
        <x:v>46243</x:v>
      </x:c>
      <x:c r="D710" s="2" t="n">
        <x:v>1</x:v>
      </x:c>
      <x:c r="E710" s="2" t="str">
        <x:v>Retail</x:v>
      </x:c>
      <x:c r="F710" s="14" t="n">
        <x:v>1420</x:v>
      </x:c>
      <x:c r="G710" s="2" t="str">
        <x:v>Simulated</x:v>
      </x:c>
    </x:row>
    <x:row r="711" ht="22" customHeight="1">
      <x:c r="A711" s="2" t="str">
        <x:v>BK-TC-06004-010</x:v>
      </x:c>
      <x:c r="B711" s="2" t="str">
        <x:v>TC-06004</x:v>
      </x:c>
      <x:c r="C711" s="12" t="n">
        <x:v>46238</x:v>
      </x:c>
      <x:c r="D711" s="2" t="n">
        <x:v>1</x:v>
      </x:c>
      <x:c r="E711" s="2" t="str">
        <x:v>Trade</x:v>
      </x:c>
      <x:c r="F711" s="14" t="n">
        <x:v>1420</x:v>
      </x:c>
      <x:c r="G711" s="2" t="str">
        <x:v>Simulated</x:v>
      </x:c>
    </x:row>
    <x:row r="712" ht="22" customHeight="1">
      <x:c r="A712" s="2" t="str">
        <x:v>BK-TC-06004-011</x:v>
      </x:c>
      <x:c r="B712" s="2" t="str">
        <x:v>TC-06004</x:v>
      </x:c>
      <x:c r="C712" s="12" t="n">
        <x:v>46228</x:v>
      </x:c>
      <x:c r="D712" s="2" t="n">
        <x:v>1</x:v>
      </x:c>
      <x:c r="E712" s="2" t="str">
        <x:v>Online</x:v>
      </x:c>
      <x:c r="F712" s="14" t="n">
        <x:v>1420</x:v>
      </x:c>
      <x:c r="G712" s="2" t="str">
        <x:v>Simulated</x:v>
      </x:c>
    </x:row>
    <x:row r="713" ht="22" customHeight="1">
      <x:c r="A713" s="2" t="str">
        <x:v>BK-TC-06005-001</x:v>
      </x:c>
      <x:c r="B713" s="2" t="str">
        <x:v>TC-06005</x:v>
      </x:c>
      <x:c r="C713" s="12" t="n">
        <x:v>46272</x:v>
      </x:c>
      <x:c r="D713" s="2" t="n">
        <x:v>1</x:v>
      </x:c>
      <x:c r="E713" s="2" t="str">
        <x:v>Trade</x:v>
      </x:c>
      <x:c r="F713" s="14" t="n">
        <x:v>1420</x:v>
      </x:c>
      <x:c r="G713" s="2" t="str">
        <x:v>Simulated</x:v>
      </x:c>
    </x:row>
    <x:row r="714" ht="22" customHeight="1">
      <x:c r="A714" s="2" t="str">
        <x:v>BK-TC-06005-002</x:v>
      </x:c>
      <x:c r="B714" s="2" t="str">
        <x:v>TC-06005</x:v>
      </x:c>
      <x:c r="C714" s="12" t="n">
        <x:v>46197</x:v>
      </x:c>
      <x:c r="D714" s="2" t="n">
        <x:v>1</x:v>
      </x:c>
      <x:c r="E714" s="2" t="str">
        <x:v>Online</x:v>
      </x:c>
      <x:c r="F714" s="14" t="n">
        <x:v>1420</x:v>
      </x:c>
      <x:c r="G714" s="2" t="str">
        <x:v>Simulated</x:v>
      </x:c>
    </x:row>
    <x:row r="715" ht="22" customHeight="1">
      <x:c r="A715" s="2" t="str">
        <x:v>BK-TC-06005-003</x:v>
      </x:c>
      <x:c r="B715" s="2" t="str">
        <x:v>TC-06005</x:v>
      </x:c>
      <x:c r="C715" s="12" t="n">
        <x:v>46267</x:v>
      </x:c>
      <x:c r="D715" s="2" t="n">
        <x:v>1</x:v>
      </x:c>
      <x:c r="E715" s="2" t="str">
        <x:v>Online</x:v>
      </x:c>
      <x:c r="F715" s="14" t="n">
        <x:v>1420</x:v>
      </x:c>
      <x:c r="G715" s="2" t="str">
        <x:v>Simulated</x:v>
      </x:c>
    </x:row>
    <x:row r="716" ht="22" customHeight="1">
      <x:c r="A716" s="2" t="str">
        <x:v>BK-TC-06005-004</x:v>
      </x:c>
      <x:c r="B716" s="2" t="str">
        <x:v>TC-06005</x:v>
      </x:c>
      <x:c r="C716" s="12" t="n">
        <x:v>46256</x:v>
      </x:c>
      <x:c r="D716" s="2" t="n">
        <x:v>1</x:v>
      </x:c>
      <x:c r="E716" s="2" t="str">
        <x:v>Online</x:v>
      </x:c>
      <x:c r="F716" s="14" t="n">
        <x:v>1420</x:v>
      </x:c>
      <x:c r="G716" s="2" t="str">
        <x:v>Simulated</x:v>
      </x:c>
    </x:row>
    <x:row r="717" ht="22" customHeight="1">
      <x:c r="A717" s="2" t="str">
        <x:v>BK-TC-06005-005</x:v>
      </x:c>
      <x:c r="B717" s="2" t="str">
        <x:v>TC-06005</x:v>
      </x:c>
      <x:c r="C717" s="12" t="n">
        <x:v>46219</x:v>
      </x:c>
      <x:c r="D717" s="2" t="n">
        <x:v>1</x:v>
      </x:c>
      <x:c r="E717" s="2" t="str">
        <x:v>Trade</x:v>
      </x:c>
      <x:c r="F717" s="14" t="n">
        <x:v>1420</x:v>
      </x:c>
      <x:c r="G717" s="2" t="str">
        <x:v>Simulated</x:v>
      </x:c>
    </x:row>
    <x:row r="718" ht="22" customHeight="1">
      <x:c r="A718" s="2" t="str">
        <x:v>BK-TC-06005-006</x:v>
      </x:c>
      <x:c r="B718" s="2" t="str">
        <x:v>TC-06005</x:v>
      </x:c>
      <x:c r="C718" s="12" t="n">
        <x:v>46275</x:v>
      </x:c>
      <x:c r="D718" s="2" t="n">
        <x:v>1</x:v>
      </x:c>
      <x:c r="E718" s="2" t="str">
        <x:v>Online</x:v>
      </x:c>
      <x:c r="F718" s="14" t="n">
        <x:v>1420</x:v>
      </x:c>
      <x:c r="G718" s="2" t="str">
        <x:v>Simulated</x:v>
      </x:c>
    </x:row>
    <x:row r="719" ht="22" customHeight="1">
      <x:c r="A719" s="2" t="str">
        <x:v>BK-TC-06005-007</x:v>
      </x:c>
      <x:c r="B719" s="2" t="str">
        <x:v>TC-06005</x:v>
      </x:c>
      <x:c r="C719" s="12" t="n">
        <x:v>46283</x:v>
      </x:c>
      <x:c r="D719" s="2" t="n">
        <x:v>1</x:v>
      </x:c>
      <x:c r="E719" s="2" t="str">
        <x:v>Online</x:v>
      </x:c>
      <x:c r="F719" s="14" t="n">
        <x:v>1420</x:v>
      </x:c>
      <x:c r="G719" s="2" t="str">
        <x:v>Simulated</x:v>
      </x:c>
    </x:row>
    <x:row r="720" ht="22" customHeight="1">
      <x:c r="A720" s="2" t="str">
        <x:v>BK-TC-06005-008</x:v>
      </x:c>
      <x:c r="B720" s="2" t="str">
        <x:v>TC-06005</x:v>
      </x:c>
      <x:c r="C720" s="12" t="n">
        <x:v>46285</x:v>
      </x:c>
      <x:c r="D720" s="2" t="n">
        <x:v>1</x:v>
      </x:c>
      <x:c r="E720" s="2" t="str">
        <x:v>Online</x:v>
      </x:c>
      <x:c r="F720" s="14" t="n">
        <x:v>1420</x:v>
      </x:c>
      <x:c r="G720" s="2" t="str">
        <x:v>Simulated</x:v>
      </x:c>
    </x:row>
    <x:row r="721" ht="22" customHeight="1">
      <x:c r="A721" s="2" t="str">
        <x:v>BK-TC-06005-009</x:v>
      </x:c>
      <x:c r="B721" s="2" t="str">
        <x:v>TC-06005</x:v>
      </x:c>
      <x:c r="C721" s="12" t="n">
        <x:v>46245</x:v>
      </x:c>
      <x:c r="D721" s="2" t="n">
        <x:v>1</x:v>
      </x:c>
      <x:c r="E721" s="2" t="str">
        <x:v>Retail</x:v>
      </x:c>
      <x:c r="F721" s="14" t="n">
        <x:v>1420</x:v>
      </x:c>
      <x:c r="G721" s="2" t="str">
        <x:v>Simulated</x:v>
      </x:c>
    </x:row>
    <x:row r="722" ht="22" customHeight="1">
      <x:c r="A722" s="2" t="str">
        <x:v>BK-TC-06005-010</x:v>
      </x:c>
      <x:c r="B722" s="2" t="str">
        <x:v>TC-06005</x:v>
      </x:c>
      <x:c r="C722" s="12" t="n">
        <x:v>46233</x:v>
      </x:c>
      <x:c r="D722" s="2" t="n">
        <x:v>1</x:v>
      </x:c>
      <x:c r="E722" s="2" t="str">
        <x:v>Retail</x:v>
      </x:c>
      <x:c r="F722" s="14" t="n">
        <x:v>1420</x:v>
      </x:c>
      <x:c r="G722" s="2" t="str">
        <x:v>Simulated</x:v>
      </x:c>
    </x:row>
    <x:row r="723" ht="22" customHeight="1">
      <x:c r="A723" s="2" t="str">
        <x:v>BK-TC-06005-011</x:v>
      </x:c>
      <x:c r="B723" s="2" t="str">
        <x:v>TC-06005</x:v>
      </x:c>
      <x:c r="C723" s="12" t="n">
        <x:v>46281</x:v>
      </x:c>
      <x:c r="D723" s="2" t="n">
        <x:v>1</x:v>
      </x:c>
      <x:c r="E723" s="2" t="str">
        <x:v>Trade</x:v>
      </x:c>
      <x:c r="F723" s="14" t="n">
        <x:v>1420</x:v>
      </x:c>
      <x:c r="G723" s="2" t="str">
        <x:v>Simulated</x:v>
      </x:c>
    </x:row>
    <x:row r="724" ht="22" customHeight="1">
      <x:c r="A724" s="2" t="str">
        <x:v>BK-TC-06005-012</x:v>
      </x:c>
      <x:c r="B724" s="2" t="str">
        <x:v>TC-06005</x:v>
      </x:c>
      <x:c r="C724" s="12" t="n">
        <x:v>46282</x:v>
      </x:c>
      <x:c r="D724" s="2" t="n">
        <x:v>1</x:v>
      </x:c>
      <x:c r="E724" s="2" t="str">
        <x:v>Trade</x:v>
      </x:c>
      <x:c r="F724" s="14" t="n">
        <x:v>1420</x:v>
      </x:c>
      <x:c r="G724" s="2" t="str">
        <x:v>Simulated</x:v>
      </x:c>
    </x:row>
    <x:row r="725" ht="22" customHeight="1">
      <x:c r="A725" s="2" t="str">
        <x:v>BK-TC-06006-001</x:v>
      </x:c>
      <x:c r="B725" s="2" t="str">
        <x:v>TC-06006</x:v>
      </x:c>
      <x:c r="C725" s="12" t="n">
        <x:v>46258</x:v>
      </x:c>
      <x:c r="D725" s="2" t="n">
        <x:v>1</x:v>
      </x:c>
      <x:c r="E725" s="2" t="str">
        <x:v>Trade</x:v>
      </x:c>
      <x:c r="F725" s="14" t="n">
        <x:v>1420</x:v>
      </x:c>
      <x:c r="G725" s="2" t="str">
        <x:v>Simulated</x:v>
      </x:c>
    </x:row>
    <x:row r="726" ht="22" customHeight="1">
      <x:c r="A726" s="2" t="str">
        <x:v>BK-TC-06006-002</x:v>
      </x:c>
      <x:c r="B726" s="2" t="str">
        <x:v>TC-06006</x:v>
      </x:c>
      <x:c r="C726" s="12" t="n">
        <x:v>46285</x:v>
      </x:c>
      <x:c r="D726" s="2" t="n">
        <x:v>1</x:v>
      </x:c>
      <x:c r="E726" s="2" t="str">
        <x:v>Retail</x:v>
      </x:c>
      <x:c r="F726" s="14" t="n">
        <x:v>1420</x:v>
      </x:c>
      <x:c r="G726" s="2" t="str">
        <x:v>Simulated</x:v>
      </x:c>
    </x:row>
    <x:row r="727" ht="22" customHeight="1">
      <x:c r="A727" s="2" t="str">
        <x:v>BK-TC-06006-003</x:v>
      </x:c>
      <x:c r="B727" s="2" t="str">
        <x:v>TC-06006</x:v>
      </x:c>
      <x:c r="C727" s="12" t="n">
        <x:v>46216</x:v>
      </x:c>
      <x:c r="D727" s="2" t="n">
        <x:v>1</x:v>
      </x:c>
      <x:c r="E727" s="2" t="str">
        <x:v>Online</x:v>
      </x:c>
      <x:c r="F727" s="14" t="n">
        <x:v>1420</x:v>
      </x:c>
      <x:c r="G727" s="2" t="str">
        <x:v>Simulated</x:v>
      </x:c>
    </x:row>
    <x:row r="728" ht="22" customHeight="1">
      <x:c r="A728" s="2" t="str">
        <x:v>BK-TC-06006-004</x:v>
      </x:c>
      <x:c r="B728" s="2" t="str">
        <x:v>TC-06006</x:v>
      </x:c>
      <x:c r="C728" s="12" t="n">
        <x:v>46218</x:v>
      </x:c>
      <x:c r="D728" s="2" t="n">
        <x:v>1</x:v>
      </x:c>
      <x:c r="E728" s="2" t="str">
        <x:v>Retail</x:v>
      </x:c>
      <x:c r="F728" s="14" t="n">
        <x:v>1420</x:v>
      </x:c>
      <x:c r="G728" s="2" t="str">
        <x:v>Simulated</x:v>
      </x:c>
    </x:row>
    <x:row r="729" ht="22" customHeight="1">
      <x:c r="A729" s="2" t="str">
        <x:v>BK-TC-06006-005</x:v>
      </x:c>
      <x:c r="B729" s="2" t="str">
        <x:v>TC-06006</x:v>
      </x:c>
      <x:c r="C729" s="12" t="n">
        <x:v>46276</x:v>
      </x:c>
      <x:c r="D729" s="2" t="n">
        <x:v>1</x:v>
      </x:c>
      <x:c r="E729" s="2" t="str">
        <x:v>Retail</x:v>
      </x:c>
      <x:c r="F729" s="14" t="n">
        <x:v>1420</x:v>
      </x:c>
      <x:c r="G729" s="2" t="str">
        <x:v>Simulated</x:v>
      </x:c>
    </x:row>
    <x:row r="730" ht="22" customHeight="1">
      <x:c r="A730" s="2" t="str">
        <x:v>BK-TC-06006-006</x:v>
      </x:c>
      <x:c r="B730" s="2" t="str">
        <x:v>TC-06006</x:v>
      </x:c>
      <x:c r="C730" s="12" t="n">
        <x:v>46273</x:v>
      </x:c>
      <x:c r="D730" s="2" t="n">
        <x:v>1</x:v>
      </x:c>
      <x:c r="E730" s="2" t="str">
        <x:v>Retail</x:v>
      </x:c>
      <x:c r="F730" s="14" t="n">
        <x:v>1420</x:v>
      </x:c>
      <x:c r="G730" s="2" t="str">
        <x:v>Simulated</x:v>
      </x:c>
    </x:row>
    <x:row r="731" ht="22" customHeight="1">
      <x:c r="A731" s="2" t="str">
        <x:v>BK-TC-06006-007</x:v>
      </x:c>
      <x:c r="B731" s="2" t="str">
        <x:v>TC-06006</x:v>
      </x:c>
      <x:c r="C731" s="12" t="n">
        <x:v>46247</x:v>
      </x:c>
      <x:c r="D731" s="2" t="n">
        <x:v>1</x:v>
      </x:c>
      <x:c r="E731" s="2" t="str">
        <x:v>Trade</x:v>
      </x:c>
      <x:c r="F731" s="14" t="n">
        <x:v>1420</x:v>
      </x:c>
      <x:c r="G731" s="2" t="str">
        <x:v>Simulated</x:v>
      </x:c>
    </x:row>
    <x:row r="732" ht="22" customHeight="1">
      <x:c r="A732" s="2" t="str">
        <x:v>BK-TC-06006-008</x:v>
      </x:c>
      <x:c r="B732" s="2" t="str">
        <x:v>TC-06006</x:v>
      </x:c>
      <x:c r="C732" s="12" t="n">
        <x:v>46217</x:v>
      </x:c>
      <x:c r="D732" s="2" t="n">
        <x:v>1</x:v>
      </x:c>
      <x:c r="E732" s="2" t="str">
        <x:v>Online</x:v>
      </x:c>
      <x:c r="F732" s="14" t="n">
        <x:v>1420</x:v>
      </x:c>
      <x:c r="G732" s="2" t="str">
        <x:v>Simulated</x:v>
      </x:c>
    </x:row>
    <x:row r="733" ht="22" customHeight="1">
      <x:c r="A733" s="2" t="str">
        <x:v>BK-TC-06006-009</x:v>
      </x:c>
      <x:c r="B733" s="2" t="str">
        <x:v>TC-06006</x:v>
      </x:c>
      <x:c r="C733" s="12" t="n">
        <x:v>46224</x:v>
      </x:c>
      <x:c r="D733" s="2" t="n">
        <x:v>1</x:v>
      </x:c>
      <x:c r="E733" s="2" t="str">
        <x:v>Online</x:v>
      </x:c>
      <x:c r="F733" s="14" t="n">
        <x:v>1420</x:v>
      </x:c>
      <x:c r="G733" s="2" t="str">
        <x:v>Simulated</x:v>
      </x:c>
    </x:row>
    <x:row r="734" ht="22" customHeight="1">
      <x:c r="A734" s="2" t="str">
        <x:v>BK-TC-06006-010</x:v>
      </x:c>
      <x:c r="B734" s="2" t="str">
        <x:v>TC-06006</x:v>
      </x:c>
      <x:c r="C734" s="12" t="n">
        <x:v>46291</x:v>
      </x:c>
      <x:c r="D734" s="2" t="n">
        <x:v>1</x:v>
      </x:c>
      <x:c r="E734" s="2" t="str">
        <x:v>Trade</x:v>
      </x:c>
      <x:c r="F734" s="14" t="n">
        <x:v>1420</x:v>
      </x:c>
      <x:c r="G734" s="2" t="str">
        <x:v>Simulated</x:v>
      </x:c>
    </x:row>
    <x:row r="735" ht="22" customHeight="1">
      <x:c r="A735" s="2" t="str">
        <x:v>BK-TC-06006-011</x:v>
      </x:c>
      <x:c r="B735" s="2" t="str">
        <x:v>TC-06006</x:v>
      </x:c>
      <x:c r="C735" s="12" t="n">
        <x:v>46220</x:v>
      </x:c>
      <x:c r="D735" s="2" t="n">
        <x:v>1</x:v>
      </x:c>
      <x:c r="E735" s="2" t="str">
        <x:v>Retail</x:v>
      </x:c>
      <x:c r="F735" s="14" t="n">
        <x:v>1420</x:v>
      </x:c>
      <x:c r="G735" s="2" t="str">
        <x:v>Simulated</x:v>
      </x:c>
    </x:row>
    <x:row r="736" ht="22" customHeight="1">
      <x:c r="A736" s="2" t="str">
        <x:v>BK-TC-06007-001</x:v>
      </x:c>
      <x:c r="B736" s="2" t="str">
        <x:v>TC-06007</x:v>
      </x:c>
      <x:c r="C736" s="12" t="n">
        <x:v>46235</x:v>
      </x:c>
      <x:c r="D736" s="2" t="n">
        <x:v>1</x:v>
      </x:c>
      <x:c r="E736" s="2" t="str">
        <x:v>Retail</x:v>
      </x:c>
      <x:c r="F736" s="14" t="n">
        <x:v>1420</x:v>
      </x:c>
      <x:c r="G736" s="2" t="str">
        <x:v>Simulated</x:v>
      </x:c>
    </x:row>
    <x:row r="737" ht="22" customHeight="1">
      <x:c r="A737" s="2" t="str">
        <x:v>BK-TC-06007-002</x:v>
      </x:c>
      <x:c r="B737" s="2" t="str">
        <x:v>TC-06007</x:v>
      </x:c>
      <x:c r="C737" s="12" t="n">
        <x:v>46228</x:v>
      </x:c>
      <x:c r="D737" s="2" t="n">
        <x:v>1</x:v>
      </x:c>
      <x:c r="E737" s="2" t="str">
        <x:v>Retail</x:v>
      </x:c>
      <x:c r="F737" s="14" t="n">
        <x:v>1420</x:v>
      </x:c>
      <x:c r="G737" s="2" t="str">
        <x:v>Simulated</x:v>
      </x:c>
    </x:row>
    <x:row r="738" ht="22" customHeight="1">
      <x:c r="A738" s="2" t="str">
        <x:v>BK-TC-06007-003</x:v>
      </x:c>
      <x:c r="B738" s="2" t="str">
        <x:v>TC-06007</x:v>
      </x:c>
      <x:c r="C738" s="12" t="n">
        <x:v>46268</x:v>
      </x:c>
      <x:c r="D738" s="2" t="n">
        <x:v>1</x:v>
      </x:c>
      <x:c r="E738" s="2" t="str">
        <x:v>Retail</x:v>
      </x:c>
      <x:c r="F738" s="14" t="n">
        <x:v>1420</x:v>
      </x:c>
      <x:c r="G738" s="2" t="str">
        <x:v>Simulated</x:v>
      </x:c>
    </x:row>
    <x:row r="739" ht="22" customHeight="1">
      <x:c r="A739" s="2" t="str">
        <x:v>BK-TC-06007-004</x:v>
      </x:c>
      <x:c r="B739" s="2" t="str">
        <x:v>TC-06007</x:v>
      </x:c>
      <x:c r="C739" s="12" t="n">
        <x:v>46249</x:v>
      </x:c>
      <x:c r="D739" s="2" t="n">
        <x:v>1</x:v>
      </x:c>
      <x:c r="E739" s="2" t="str">
        <x:v>Retail</x:v>
      </x:c>
      <x:c r="F739" s="14" t="n">
        <x:v>1420</x:v>
      </x:c>
      <x:c r="G739" s="2" t="str">
        <x:v>Simulated</x:v>
      </x:c>
    </x:row>
    <x:row r="740" ht="22" customHeight="1">
      <x:c r="A740" s="2" t="str">
        <x:v>BK-TC-06007-005</x:v>
      </x:c>
      <x:c r="B740" s="2" t="str">
        <x:v>TC-06007</x:v>
      </x:c>
      <x:c r="C740" s="12" t="n">
        <x:v>46274</x:v>
      </x:c>
      <x:c r="D740" s="2" t="n">
        <x:v>1</x:v>
      </x:c>
      <x:c r="E740" s="2" t="str">
        <x:v>Trade</x:v>
      </x:c>
      <x:c r="F740" s="14" t="n">
        <x:v>1420</x:v>
      </x:c>
      <x:c r="G740" s="2" t="str">
        <x:v>Simulated</x:v>
      </x:c>
    </x:row>
    <x:row r="741" ht="22" customHeight="1">
      <x:c r="A741" s="2" t="str">
        <x:v>BK-TC-06007-006</x:v>
      </x:c>
      <x:c r="B741" s="2" t="str">
        <x:v>TC-06007</x:v>
      </x:c>
      <x:c r="C741" s="12" t="n">
        <x:v>46238</x:v>
      </x:c>
      <x:c r="D741" s="2" t="n">
        <x:v>1</x:v>
      </x:c>
      <x:c r="E741" s="2" t="str">
        <x:v>Online</x:v>
      </x:c>
      <x:c r="F741" s="14" t="n">
        <x:v>1420</x:v>
      </x:c>
      <x:c r="G741" s="2" t="str">
        <x:v>Simulated</x:v>
      </x:c>
    </x:row>
    <x:row r="742" ht="22" customHeight="1">
      <x:c r="A742" s="2" t="str">
        <x:v>BK-TC-06007-007</x:v>
      </x:c>
      <x:c r="B742" s="2" t="str">
        <x:v>TC-06007</x:v>
      </x:c>
      <x:c r="C742" s="12" t="n">
        <x:v>46234</x:v>
      </x:c>
      <x:c r="D742" s="2" t="n">
        <x:v>1</x:v>
      </x:c>
      <x:c r="E742" s="2" t="str">
        <x:v>Trade</x:v>
      </x:c>
      <x:c r="F742" s="14" t="n">
        <x:v>1420</x:v>
      </x:c>
      <x:c r="G742" s="2" t="str">
        <x:v>Simulated</x:v>
      </x:c>
    </x:row>
    <x:row r="743" ht="22" customHeight="1">
      <x:c r="A743" s="2" t="str">
        <x:v>BK-TC-06007-008</x:v>
      </x:c>
      <x:c r="B743" s="2" t="str">
        <x:v>TC-06007</x:v>
      </x:c>
      <x:c r="C743" s="12" t="n">
        <x:v>46234</x:v>
      </x:c>
      <x:c r="D743" s="2" t="n">
        <x:v>1</x:v>
      </x:c>
      <x:c r="E743" s="2" t="str">
        <x:v>Trade</x:v>
      </x:c>
      <x:c r="F743" s="14" t="n">
        <x:v>1420</x:v>
      </x:c>
      <x:c r="G743" s="2" t="str">
        <x:v>Simulated</x:v>
      </x:c>
    </x:row>
    <x:row r="744" ht="22" customHeight="1">
      <x:c r="A744" s="2" t="str">
        <x:v>BK-TC-06007-009</x:v>
      </x:c>
      <x:c r="B744" s="2" t="str">
        <x:v>TC-06007</x:v>
      </x:c>
      <x:c r="C744" s="12" t="n">
        <x:v>46271</x:v>
      </x:c>
      <x:c r="D744" s="2" t="n">
        <x:v>1</x:v>
      </x:c>
      <x:c r="E744" s="2" t="str">
        <x:v>Trade</x:v>
      </x:c>
      <x:c r="F744" s="14" t="n">
        <x:v>1420</x:v>
      </x:c>
      <x:c r="G744" s="2" t="str">
        <x:v>Simulated</x:v>
      </x:c>
    </x:row>
    <x:row r="745" ht="22" customHeight="1">
      <x:c r="A745" s="2" t="str">
        <x:v>BK-TC-06007-010</x:v>
      </x:c>
      <x:c r="B745" s="2" t="str">
        <x:v>TC-06007</x:v>
      </x:c>
      <x:c r="C745" s="12" t="n">
        <x:v>46263</x:v>
      </x:c>
      <x:c r="D745" s="2" t="n">
        <x:v>1</x:v>
      </x:c>
      <x:c r="E745" s="2" t="str">
        <x:v>Trade</x:v>
      </x:c>
      <x:c r="F745" s="14" t="n">
        <x:v>1420</x:v>
      </x:c>
      <x:c r="G745" s="2" t="str">
        <x:v>Simulated</x:v>
      </x:c>
    </x:row>
    <x:row r="746" ht="22" customHeight="1">
      <x:c r="A746" s="2" t="str">
        <x:v>BK-TC-06007-011</x:v>
      </x:c>
      <x:c r="B746" s="2" t="str">
        <x:v>TC-06007</x:v>
      </x:c>
      <x:c r="C746" s="12" t="n">
        <x:v>46286</x:v>
      </x:c>
      <x:c r="D746" s="2" t="n">
        <x:v>1</x:v>
      </x:c>
      <x:c r="E746" s="2" t="str">
        <x:v>Retail</x:v>
      </x:c>
      <x:c r="F746" s="14" t="n">
        <x:v>1420</x:v>
      </x:c>
      <x:c r="G746" s="2" t="str">
        <x:v>Simulated</x:v>
      </x:c>
    </x:row>
    <x:row r="747" ht="22" customHeight="1">
      <x:c r="A747" s="2" t="str">
        <x:v>BK-TC-06007-012</x:v>
      </x:c>
      <x:c r="B747" s="2" t="str">
        <x:v>TC-06007</x:v>
      </x:c>
      <x:c r="C747" s="12" t="n">
        <x:v>46249</x:v>
      </x:c>
      <x:c r="D747" s="2" t="n">
        <x:v>1</x:v>
      </x:c>
      <x:c r="E747" s="2" t="str">
        <x:v>Online</x:v>
      </x:c>
      <x:c r="F747" s="14" t="n">
        <x:v>1420</x:v>
      </x:c>
      <x:c r="G747" s="2" t="str">
        <x:v>Simulated</x:v>
      </x:c>
    </x:row>
    <x:row r="748" ht="22" customHeight="1">
      <x:c r="A748" s="2" t="str">
        <x:v>BK-TC-06008-001</x:v>
      </x:c>
      <x:c r="B748" s="2" t="str">
        <x:v>TC-06008</x:v>
      </x:c>
      <x:c r="C748" s="12" t="n">
        <x:v>46296</x:v>
      </x:c>
      <x:c r="D748" s="2" t="n">
        <x:v>1</x:v>
      </x:c>
      <x:c r="E748" s="2" t="str">
        <x:v>Retail</x:v>
      </x:c>
      <x:c r="F748" s="14" t="n">
        <x:v>1420</x:v>
      </x:c>
      <x:c r="G748" s="2" t="str">
        <x:v>Simulated</x:v>
      </x:c>
    </x:row>
    <x:row r="749" ht="22" customHeight="1">
      <x:c r="A749" s="2" t="str">
        <x:v>BK-TC-06008-002</x:v>
      </x:c>
      <x:c r="B749" s="2" t="str">
        <x:v>TC-06008</x:v>
      </x:c>
      <x:c r="C749" s="12" t="n">
        <x:v>46279</x:v>
      </x:c>
      <x:c r="D749" s="2" t="n">
        <x:v>1</x:v>
      </x:c>
      <x:c r="E749" s="2" t="str">
        <x:v>Trade</x:v>
      </x:c>
      <x:c r="F749" s="14" t="n">
        <x:v>1420</x:v>
      </x:c>
      <x:c r="G749" s="2" t="str">
        <x:v>Simulated</x:v>
      </x:c>
    </x:row>
    <x:row r="750" ht="22" customHeight="1">
      <x:c r="A750" s="2" t="str">
        <x:v>BK-TC-06008-003</x:v>
      </x:c>
      <x:c r="B750" s="2" t="str">
        <x:v>TC-06008</x:v>
      </x:c>
      <x:c r="C750" s="12" t="n">
        <x:v>46267</x:v>
      </x:c>
      <x:c r="D750" s="2" t="n">
        <x:v>1</x:v>
      </x:c>
      <x:c r="E750" s="2" t="str">
        <x:v>Trade</x:v>
      </x:c>
      <x:c r="F750" s="14" t="n">
        <x:v>1420</x:v>
      </x:c>
      <x:c r="G750" s="2" t="str">
        <x:v>Simulated</x:v>
      </x:c>
    </x:row>
    <x:row r="751" ht="22" customHeight="1">
      <x:c r="A751" s="2" t="str">
        <x:v>BK-TC-06008-004</x:v>
      </x:c>
      <x:c r="B751" s="2" t="str">
        <x:v>TC-06008</x:v>
      </x:c>
      <x:c r="C751" s="12" t="n">
        <x:v>46259</x:v>
      </x:c>
      <x:c r="D751" s="2" t="n">
        <x:v>1</x:v>
      </x:c>
      <x:c r="E751" s="2" t="str">
        <x:v>Retail</x:v>
      </x:c>
      <x:c r="F751" s="14" t="n">
        <x:v>1420</x:v>
      </x:c>
      <x:c r="G751" s="2" t="str">
        <x:v>Simulated</x:v>
      </x:c>
    </x:row>
    <x:row r="752" ht="22" customHeight="1">
      <x:c r="A752" s="2" t="str">
        <x:v>BK-TC-06008-005</x:v>
      </x:c>
      <x:c r="B752" s="2" t="str">
        <x:v>TC-06008</x:v>
      </x:c>
      <x:c r="C752" s="12" t="n">
        <x:v>46273</x:v>
      </x:c>
      <x:c r="D752" s="2" t="n">
        <x:v>1</x:v>
      </x:c>
      <x:c r="E752" s="2" t="str">
        <x:v>Trade</x:v>
      </x:c>
      <x:c r="F752" s="14" t="n">
        <x:v>1420</x:v>
      </x:c>
      <x:c r="G752" s="2" t="str">
        <x:v>Simulated</x:v>
      </x:c>
    </x:row>
    <x:row r="753" ht="22" customHeight="1">
      <x:c r="A753" s="2" t="str">
        <x:v>BK-TC-06008-006</x:v>
      </x:c>
      <x:c r="B753" s="2" t="str">
        <x:v>TC-06008</x:v>
      </x:c>
      <x:c r="C753" s="12" t="n">
        <x:v>46253</x:v>
      </x:c>
      <x:c r="D753" s="2" t="n">
        <x:v>1</x:v>
      </x:c>
      <x:c r="E753" s="2" t="str">
        <x:v>Online</x:v>
      </x:c>
      <x:c r="F753" s="14" t="n">
        <x:v>1420</x:v>
      </x:c>
      <x:c r="G753" s="2" t="str">
        <x:v>Simulated</x:v>
      </x:c>
    </x:row>
  </x:sheetData>
  <x:pageMargins left="0.7" right="0.7" top="0.75" bottom="0.75" header="0.3" footer="0.3"/>
  <x:tableParts count="1">
    <x:tablePart xmlns:r="http://schemas.openxmlformats.org/officeDocument/2006/relationships" r:id="R558dd743c9bb4b8c"/>
  </x:tableParts>
</x:worksheet>
</file>